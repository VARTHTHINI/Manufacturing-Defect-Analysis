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ata Analyst\Excel\Problem 2 - Git hub\"/>
    </mc:Choice>
  </mc:AlternateContent>
  <xr:revisionPtr revIDLastSave="0" documentId="13_ncr:1_{89F0C908-DBFC-4AAD-AB70-348E44134B0E}" xr6:coauthVersionLast="47" xr6:coauthVersionMax="47" xr10:uidLastSave="{00000000-0000-0000-0000-000000000000}"/>
  <bookViews>
    <workbookView xWindow="-110" yWindow="-110" windowWidth="19420" windowHeight="12220" activeTab="3" xr2:uid="{00000000-000D-0000-FFFF-FFFF00000000}"/>
  </bookViews>
  <sheets>
    <sheet name="Dataset" sheetId="1" r:id="rId1"/>
    <sheet name="Sheet2" sheetId="3" r:id="rId2"/>
    <sheet name="Q4 " sheetId="5" r:id="rId3"/>
    <sheet name="Sheet6" sheetId="7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28" i="1" l="1"/>
  <c r="G322" i="1"/>
  <c r="G217" i="1"/>
  <c r="G87" i="1"/>
  <c r="G18" i="1"/>
  <c r="G454" i="1"/>
  <c r="G172" i="1"/>
  <c r="G161" i="1"/>
  <c r="G83" i="1"/>
  <c r="G327" i="1"/>
  <c r="G364" i="1"/>
  <c r="G371" i="1"/>
  <c r="G160" i="1"/>
  <c r="G459" i="1"/>
  <c r="G272" i="1"/>
  <c r="G112" i="1"/>
  <c r="G377" i="1"/>
  <c r="G211" i="1"/>
  <c r="G15" i="1"/>
  <c r="G12" i="1"/>
  <c r="G475" i="1"/>
  <c r="G197" i="1"/>
  <c r="G390" i="1"/>
  <c r="G251" i="1"/>
  <c r="G440" i="1"/>
  <c r="G216" i="1"/>
  <c r="G139" i="1"/>
  <c r="G271" i="1"/>
  <c r="G420" i="1"/>
  <c r="G269" i="1"/>
  <c r="G176" i="1"/>
  <c r="G411" i="1"/>
  <c r="G250" i="1"/>
  <c r="G138" i="1"/>
  <c r="G359" i="1"/>
  <c r="G259" i="1"/>
  <c r="G304" i="1"/>
  <c r="G68" i="1"/>
  <c r="G473" i="1"/>
  <c r="G88" i="1"/>
  <c r="G147" i="1"/>
  <c r="G499" i="1"/>
  <c r="G212" i="1"/>
  <c r="G81" i="1"/>
  <c r="G380" i="1"/>
  <c r="G346" i="1"/>
  <c r="G320" i="1"/>
  <c r="G194" i="1"/>
  <c r="G312" i="1"/>
  <c r="G442" i="1"/>
  <c r="G405" i="1"/>
  <c r="G189" i="1"/>
  <c r="G466" i="1"/>
  <c r="G20" i="1"/>
  <c r="G237" i="1"/>
  <c r="G35" i="1"/>
  <c r="G485" i="1"/>
  <c r="G14" i="1"/>
  <c r="G480" i="1"/>
  <c r="G461" i="1"/>
  <c r="G501" i="1"/>
  <c r="G472" i="1"/>
  <c r="G179" i="1"/>
  <c r="G486" i="1"/>
  <c r="G361" i="1"/>
  <c r="G368" i="1"/>
  <c r="G103" i="1"/>
  <c r="G341" i="1"/>
  <c r="G369" i="1"/>
  <c r="G284" i="1"/>
  <c r="G279" i="1"/>
  <c r="G98" i="1"/>
  <c r="G498" i="1"/>
  <c r="G383" i="1"/>
  <c r="G455" i="1"/>
  <c r="G433" i="1"/>
  <c r="G143" i="1"/>
  <c r="G244" i="1"/>
  <c r="G168" i="1"/>
  <c r="G404" i="1"/>
  <c r="G303" i="1"/>
  <c r="G56" i="1"/>
  <c r="G258" i="1"/>
  <c r="G491" i="1"/>
  <c r="G192" i="1"/>
  <c r="G484" i="1"/>
  <c r="G22" i="1"/>
  <c r="G464" i="1"/>
  <c r="G187" i="1"/>
  <c r="G372" i="1"/>
  <c r="G111" i="1"/>
  <c r="G430" i="1"/>
  <c r="G252" i="1"/>
  <c r="G196" i="1"/>
  <c r="G144" i="1"/>
  <c r="G379" i="1"/>
  <c r="G108" i="1"/>
  <c r="G17" i="1"/>
  <c r="G449" i="1"/>
  <c r="G204" i="1"/>
  <c r="G336" i="1"/>
  <c r="G263" i="1"/>
  <c r="G408" i="1"/>
  <c r="G316" i="1"/>
  <c r="G366" i="1"/>
  <c r="G16" i="1"/>
  <c r="G465" i="1"/>
  <c r="G79" i="1"/>
  <c r="G119" i="1"/>
  <c r="G32" i="1"/>
  <c r="G66" i="1"/>
  <c r="G4" i="1"/>
  <c r="G215" i="1"/>
  <c r="G494" i="1"/>
  <c r="G239" i="1"/>
  <c r="G46" i="1"/>
  <c r="G413" i="1"/>
  <c r="G210" i="1"/>
  <c r="G71" i="1"/>
  <c r="G140" i="1"/>
  <c r="G80" i="1"/>
  <c r="G52" i="1"/>
  <c r="G76" i="1"/>
  <c r="G290" i="1"/>
  <c r="G40" i="1"/>
  <c r="G91" i="1"/>
  <c r="G422" i="1"/>
  <c r="G437" i="1"/>
  <c r="G305" i="1"/>
  <c r="G307" i="1"/>
  <c r="G487" i="1"/>
  <c r="K25" i="1" s="1"/>
  <c r="G48" i="1"/>
  <c r="G467" i="1"/>
  <c r="G281" i="1"/>
  <c r="G347" i="1"/>
  <c r="G489" i="1"/>
  <c r="G10" i="1"/>
  <c r="G351" i="1"/>
  <c r="G202" i="1"/>
  <c r="G27" i="1"/>
  <c r="G37" i="1"/>
  <c r="G460" i="1"/>
  <c r="G314" i="1"/>
  <c r="K28" i="1" s="1"/>
  <c r="G353" i="1"/>
  <c r="G85" i="1"/>
  <c r="G47" i="1"/>
  <c r="G249" i="1"/>
  <c r="G317" i="1"/>
  <c r="G63" i="1"/>
  <c r="G296" i="1"/>
  <c r="G266" i="1"/>
  <c r="G141" i="1"/>
  <c r="G253" i="1"/>
  <c r="G107" i="1"/>
  <c r="G38" i="1"/>
  <c r="G294" i="1"/>
  <c r="G49" i="1"/>
  <c r="G483" i="1"/>
  <c r="G438" i="1"/>
  <c r="G198" i="1"/>
  <c r="G238" i="1"/>
  <c r="G428" i="1"/>
  <c r="G74" i="1"/>
  <c r="G59" i="1"/>
  <c r="G474" i="1"/>
  <c r="G26" i="1"/>
  <c r="G280" i="1"/>
  <c r="G445" i="1"/>
  <c r="G310" i="1"/>
  <c r="G164" i="1"/>
  <c r="G342" i="1"/>
  <c r="G3" i="1"/>
  <c r="G28" i="1"/>
  <c r="G115" i="1"/>
  <c r="G391" i="1"/>
  <c r="G375" i="1"/>
  <c r="G219" i="1"/>
  <c r="G385" i="1"/>
  <c r="G406" i="1"/>
  <c r="G495" i="1"/>
  <c r="G29" i="1"/>
  <c r="G247" i="1"/>
  <c r="G229" i="1"/>
  <c r="G127" i="1"/>
  <c r="G301" i="1"/>
  <c r="G399" i="1"/>
  <c r="G186" i="1"/>
  <c r="G156" i="1"/>
  <c r="G58" i="1"/>
  <c r="G302" i="1"/>
  <c r="G289" i="1"/>
  <c r="G222" i="1"/>
  <c r="G488" i="1"/>
  <c r="G403" i="1"/>
  <c r="G402" i="1"/>
  <c r="G362" i="1"/>
  <c r="G169" i="1"/>
  <c r="G355" i="1"/>
  <c r="G468" i="1"/>
  <c r="G226" i="1"/>
  <c r="G243" i="1"/>
  <c r="G97" i="1"/>
  <c r="G31" i="1"/>
  <c r="G94" i="1"/>
  <c r="G318" i="1"/>
  <c r="G207" i="1"/>
  <c r="G182" i="1"/>
  <c r="G283" i="1"/>
  <c r="G414" i="1"/>
  <c r="G123" i="1"/>
  <c r="G363" i="1"/>
  <c r="G159" i="1"/>
  <c r="G126" i="1"/>
  <c r="G479" i="1"/>
  <c r="G6" i="1"/>
  <c r="G117" i="1"/>
  <c r="G72" i="1"/>
  <c r="G155" i="1"/>
  <c r="G481" i="1"/>
  <c r="G213" i="1"/>
  <c r="G268" i="1"/>
  <c r="G151" i="1"/>
  <c r="G439" i="1"/>
  <c r="G419" i="1"/>
  <c r="G30" i="1"/>
  <c r="G228" i="1"/>
  <c r="G92" i="1"/>
  <c r="G255" i="1"/>
  <c r="G427" i="1"/>
  <c r="G57" i="1"/>
  <c r="G149" i="1"/>
  <c r="G7" i="1"/>
  <c r="G273" i="1"/>
  <c r="G105" i="1"/>
  <c r="G201" i="1"/>
  <c r="G137" i="1"/>
  <c r="G246" i="1"/>
  <c r="G73" i="1"/>
  <c r="G248" i="1"/>
  <c r="G181" i="1"/>
  <c r="G199" i="1"/>
  <c r="G356" i="1"/>
  <c r="G398" i="1"/>
  <c r="G313" i="1"/>
  <c r="G426" i="1"/>
  <c r="G180" i="1"/>
  <c r="G51" i="1"/>
  <c r="G43" i="1"/>
  <c r="G100" i="1"/>
  <c r="G299" i="1"/>
  <c r="G295" i="1"/>
  <c r="K39" i="1" s="1"/>
  <c r="G387" i="1"/>
  <c r="G298" i="1"/>
  <c r="G21" i="1"/>
  <c r="G345" i="1"/>
  <c r="G331" i="1"/>
  <c r="G457" i="1"/>
  <c r="G343" i="1"/>
  <c r="G36" i="1"/>
  <c r="G65" i="1"/>
  <c r="G469" i="1"/>
  <c r="K55" i="1" s="1"/>
  <c r="G300" i="1"/>
  <c r="G118" i="1"/>
  <c r="G429" i="1"/>
  <c r="G60" i="1"/>
  <c r="G291" i="1"/>
  <c r="G223" i="1"/>
  <c r="G136" i="1"/>
  <c r="G70" i="1"/>
  <c r="G453" i="1"/>
  <c r="G129" i="1"/>
  <c r="G482" i="1"/>
  <c r="G113" i="1"/>
  <c r="G134" i="1"/>
  <c r="G190" i="1"/>
  <c r="G146" i="1"/>
  <c r="G400" i="1"/>
  <c r="G382" i="1"/>
  <c r="G208" i="1"/>
  <c r="G227" i="1"/>
  <c r="G23" i="1"/>
  <c r="G293" i="1"/>
  <c r="G245" i="1"/>
  <c r="G230" i="1"/>
  <c r="G121" i="1"/>
  <c r="G434" i="1"/>
  <c r="G64" i="1"/>
  <c r="K48" i="1" s="1"/>
  <c r="G162" i="1"/>
  <c r="G135" i="1"/>
  <c r="G33" i="1"/>
  <c r="G415" i="1"/>
  <c r="G471" i="1"/>
  <c r="G78" i="1"/>
  <c r="G425" i="1"/>
  <c r="G102" i="1"/>
  <c r="G95" i="1"/>
  <c r="G389" i="1"/>
  <c r="G278" i="1"/>
  <c r="G173" i="1"/>
  <c r="G476" i="1"/>
  <c r="G409" i="1"/>
  <c r="G264" i="1"/>
  <c r="G122" i="1"/>
  <c r="G410" i="1"/>
  <c r="G11" i="1"/>
  <c r="G418" i="1"/>
  <c r="G395" i="1"/>
  <c r="G297" i="1"/>
  <c r="G116" i="1"/>
  <c r="G384" i="1"/>
  <c r="G200" i="1"/>
  <c r="G177" i="1"/>
  <c r="G451" i="1"/>
  <c r="G225" i="1"/>
  <c r="G234" i="1"/>
  <c r="G183" i="1"/>
  <c r="G260" i="1"/>
  <c r="G231" i="1"/>
  <c r="G373" i="1"/>
  <c r="G132" i="1"/>
  <c r="G396" i="1"/>
  <c r="G308" i="1"/>
  <c r="G178" i="1"/>
  <c r="G257" i="1"/>
  <c r="G90" i="1"/>
  <c r="G34" i="1"/>
  <c r="G386" i="1"/>
  <c r="G335" i="1"/>
  <c r="G145" i="1"/>
  <c r="G337" i="1"/>
  <c r="G193" i="1"/>
  <c r="G236" i="1"/>
  <c r="G432" i="1"/>
  <c r="G348" i="1"/>
  <c r="G370" i="1"/>
  <c r="G350" i="1"/>
  <c r="G163" i="1"/>
  <c r="G325" i="1"/>
  <c r="G452" i="1"/>
  <c r="G354" i="1"/>
  <c r="G148" i="1"/>
  <c r="G209" i="1"/>
  <c r="G44" i="1"/>
  <c r="G106" i="1"/>
  <c r="G205" i="1"/>
  <c r="G393" i="1"/>
  <c r="G276" i="1"/>
  <c r="G292" i="1"/>
  <c r="G2" i="1"/>
  <c r="K54" i="1" s="1"/>
  <c r="G256" i="1"/>
  <c r="G232" i="1"/>
  <c r="G128" i="1"/>
  <c r="G154" i="1"/>
  <c r="G42" i="1"/>
  <c r="G367" i="1"/>
  <c r="G206" i="1"/>
  <c r="G360" i="1"/>
  <c r="G401" i="1"/>
  <c r="G329" i="1"/>
  <c r="K34" i="1" s="1"/>
  <c r="G25" i="1"/>
  <c r="G170" i="1"/>
  <c r="G157" i="1"/>
  <c r="G104" i="1"/>
  <c r="G13" i="1"/>
  <c r="G456" i="1"/>
  <c r="G270" i="1"/>
  <c r="G39" i="1"/>
  <c r="G306" i="1"/>
  <c r="G221" i="1"/>
  <c r="G262" i="1"/>
  <c r="G339" i="1"/>
  <c r="G388" i="1"/>
  <c r="G412" i="1"/>
  <c r="G9" i="1"/>
  <c r="G220" i="1"/>
  <c r="G214" i="1"/>
  <c r="G75" i="1"/>
  <c r="G175" i="1"/>
  <c r="G493" i="1"/>
  <c r="G443" i="1"/>
  <c r="G334" i="1"/>
  <c r="K32" i="1" s="1"/>
  <c r="G120" i="1"/>
  <c r="G374" i="1"/>
  <c r="G86" i="1"/>
  <c r="G333" i="1"/>
  <c r="G19" i="1"/>
  <c r="G50" i="1"/>
  <c r="G171" i="1"/>
  <c r="G240" i="1"/>
  <c r="G261" i="1"/>
  <c r="G444" i="1"/>
  <c r="G492" i="1"/>
  <c r="G158" i="1"/>
  <c r="G267" i="1"/>
  <c r="G184" i="1"/>
  <c r="G188" i="1"/>
  <c r="G150" i="1"/>
  <c r="G101" i="1"/>
  <c r="G110" i="1"/>
  <c r="G54" i="1"/>
  <c r="G436" i="1"/>
  <c r="G265" i="1"/>
  <c r="G55" i="1"/>
  <c r="G423" i="1"/>
  <c r="G288" i="1"/>
  <c r="G376" i="1"/>
  <c r="G133" i="1"/>
  <c r="G326" i="1"/>
  <c r="G286" i="1"/>
  <c r="G446" i="1"/>
  <c r="G349" i="1"/>
  <c r="G324" i="1"/>
  <c r="G392" i="1"/>
  <c r="G142" i="1"/>
  <c r="G450" i="1"/>
  <c r="G242" i="1"/>
  <c r="G352" i="1"/>
  <c r="G45" i="1"/>
  <c r="G53" i="1"/>
  <c r="G24" i="1"/>
  <c r="G282" i="1"/>
  <c r="G285" i="1"/>
  <c r="G417" i="1"/>
  <c r="G62" i="1"/>
  <c r="G67" i="1"/>
  <c r="G109" i="1"/>
  <c r="G274" i="1"/>
  <c r="G497" i="1"/>
  <c r="G114" i="1"/>
  <c r="G152" i="1"/>
  <c r="G93" i="1"/>
  <c r="G378" i="1"/>
  <c r="G191" i="1"/>
  <c r="G309" i="1"/>
  <c r="G478" i="1"/>
  <c r="G447" i="1"/>
  <c r="G435" i="1"/>
  <c r="G416" i="1"/>
  <c r="G8" i="1"/>
  <c r="G463" i="1"/>
  <c r="G130" i="1"/>
  <c r="G96" i="1"/>
  <c r="G431" i="1"/>
  <c r="G82" i="1"/>
  <c r="G338" i="1"/>
  <c r="G174" i="1"/>
  <c r="G470" i="1"/>
  <c r="G490" i="1"/>
  <c r="G277" i="1"/>
  <c r="G233" i="1"/>
  <c r="G167" i="1"/>
  <c r="G203" i="1"/>
  <c r="G397" i="1"/>
  <c r="G61" i="1"/>
  <c r="G89" i="1"/>
  <c r="G195" i="1"/>
  <c r="G458" i="1"/>
  <c r="G241" i="1"/>
  <c r="G330" i="1"/>
  <c r="G462" i="1"/>
  <c r="G5" i="1"/>
  <c r="G365" i="1"/>
  <c r="G125" i="1"/>
  <c r="G166" i="1"/>
  <c r="G254" i="1"/>
  <c r="G477" i="1"/>
  <c r="G153" i="1"/>
  <c r="G275" i="1"/>
  <c r="G124" i="1"/>
  <c r="G131" i="1"/>
  <c r="G340" i="1"/>
  <c r="G99" i="1"/>
  <c r="G321" i="1"/>
  <c r="G41" i="1"/>
  <c r="G315" i="1"/>
  <c r="G323" i="1"/>
  <c r="G500" i="1"/>
  <c r="G311" i="1"/>
  <c r="G381" i="1"/>
  <c r="G165" i="1"/>
  <c r="G69" i="1"/>
  <c r="G332" i="1"/>
  <c r="G185" i="1"/>
  <c r="G84" i="1"/>
  <c r="G235" i="1"/>
  <c r="G421" i="1"/>
  <c r="G77" i="1"/>
  <c r="G218" i="1"/>
  <c r="G357" i="1"/>
  <c r="G358" i="1"/>
  <c r="G319" i="1"/>
  <c r="G224" i="1"/>
  <c r="G424" i="1"/>
  <c r="G441" i="1"/>
  <c r="G496" i="1"/>
  <c r="G394" i="1"/>
  <c r="G448" i="1"/>
  <c r="G407" i="1"/>
  <c r="G344" i="1"/>
  <c r="G287" i="1"/>
  <c r="J3" i="1"/>
  <c r="K30" i="1" l="1"/>
  <c r="K37" i="1"/>
  <c r="K46" i="1"/>
  <c r="K49" i="1"/>
  <c r="K27" i="1"/>
  <c r="K50" i="1"/>
  <c r="K42" i="1"/>
  <c r="K35" i="1"/>
  <c r="K33" i="1"/>
  <c r="K51" i="1"/>
  <c r="K38" i="1"/>
  <c r="K53" i="1"/>
  <c r="K29" i="1"/>
  <c r="K44" i="1"/>
  <c r="K47" i="1"/>
  <c r="K31" i="1"/>
  <c r="K43" i="1"/>
  <c r="K41" i="1"/>
  <c r="K26" i="1"/>
  <c r="K40" i="1"/>
  <c r="K45" i="1"/>
  <c r="K24" i="1"/>
  <c r="K52" i="1"/>
  <c r="K36" i="1"/>
  <c r="K17" i="1"/>
  <c r="K18" i="1"/>
  <c r="K16" i="1"/>
  <c r="K19" i="1" l="1"/>
</calcChain>
</file>

<file path=xl/sharedStrings.xml><?xml version="1.0" encoding="utf-8"?>
<sst xmlns="http://schemas.openxmlformats.org/spreadsheetml/2006/main" count="1657" uniqueCount="102">
  <si>
    <t>Production Date</t>
  </si>
  <si>
    <t>Shift (A/B/C)</t>
  </si>
  <si>
    <t>Machine ID</t>
  </si>
  <si>
    <t>Units Produced</t>
  </si>
  <si>
    <t>Defective Units</t>
  </si>
  <si>
    <t>Operator Name</t>
  </si>
  <si>
    <t>B</t>
  </si>
  <si>
    <t>A</t>
  </si>
  <si>
    <t>C</t>
  </si>
  <si>
    <t>M001</t>
  </si>
  <si>
    <t>M014</t>
  </si>
  <si>
    <t>M009</t>
  </si>
  <si>
    <t>M019</t>
  </si>
  <si>
    <t>M012</t>
  </si>
  <si>
    <t>M016</t>
  </si>
  <si>
    <t>M007</t>
  </si>
  <si>
    <t>M013</t>
  </si>
  <si>
    <t>M017</t>
  </si>
  <si>
    <t>M020</t>
  </si>
  <si>
    <t>M018</t>
  </si>
  <si>
    <t>M011</t>
  </si>
  <si>
    <t>M004</t>
  </si>
  <si>
    <t>M008</t>
  </si>
  <si>
    <t>M015</t>
  </si>
  <si>
    <t>M003</t>
  </si>
  <si>
    <t>M006</t>
  </si>
  <si>
    <t>M010</t>
  </si>
  <si>
    <t>M005</t>
  </si>
  <si>
    <t>M002</t>
  </si>
  <si>
    <t>Operator_25</t>
  </si>
  <si>
    <t>Operator_4</t>
  </si>
  <si>
    <t>Operator_14</t>
  </si>
  <si>
    <t>Operator_21</t>
  </si>
  <si>
    <t>Operator_29</t>
  </si>
  <si>
    <t>Operator_27</t>
  </si>
  <si>
    <t>Operator_5</t>
  </si>
  <si>
    <t>Operator_9</t>
  </si>
  <si>
    <t>Operator_30</t>
  </si>
  <si>
    <t>Operator_6</t>
  </si>
  <si>
    <t>Operator_28</t>
  </si>
  <si>
    <t>Operator_15</t>
  </si>
  <si>
    <t>Operator_1</t>
  </si>
  <si>
    <t>Operator_7</t>
  </si>
  <si>
    <t>Operator_2</t>
  </si>
  <si>
    <t>Operator_19</t>
  </si>
  <si>
    <t>Operator_3</t>
  </si>
  <si>
    <t>Operator_24</t>
  </si>
  <si>
    <t>Operator_17</t>
  </si>
  <si>
    <t>Operator_20</t>
  </si>
  <si>
    <t>Operator_8</t>
  </si>
  <si>
    <t>Operator_22</t>
  </si>
  <si>
    <t>Operator_18</t>
  </si>
  <si>
    <t>Operator_23</t>
  </si>
  <si>
    <t>Operator_26</t>
  </si>
  <si>
    <t>Operator_11</t>
  </si>
  <si>
    <t>Operator_16</t>
  </si>
  <si>
    <t>Operator_13</t>
  </si>
  <si>
    <t>Operator_10</t>
  </si>
  <si>
    <t>Operator_12</t>
  </si>
  <si>
    <t>1.Calculate defect percentage per record</t>
  </si>
  <si>
    <t>Formula: (SUM(E2:E301)/SUM(D2:D301)*100)</t>
  </si>
  <si>
    <t>2.Identify machines with defect rate above 5%</t>
  </si>
  <si>
    <t>Defect as percentage</t>
  </si>
  <si>
    <t>Column G calculated is row wise defect percentage</t>
  </si>
  <si>
    <t>Ans:</t>
  </si>
  <si>
    <t>Row Labels</t>
  </si>
  <si>
    <t>Grand Total</t>
  </si>
  <si>
    <t>Average of Defect as percentage</t>
  </si>
  <si>
    <t>Highest</t>
  </si>
  <si>
    <t>Q3: Which shift has the highest average defect rate</t>
  </si>
  <si>
    <t>Create a helper column with defect percentage</t>
  </si>
  <si>
    <t xml:space="preserve">Then create a pivot table showing the average </t>
  </si>
  <si>
    <t>deficit of each machine and get the ans from above 5% machine</t>
  </si>
  <si>
    <r>
      <t>Q5:</t>
    </r>
    <r>
      <rPr>
        <sz val="11"/>
        <color theme="1"/>
        <rFont val="Calibri"/>
        <family val="2"/>
        <scheme val="minor"/>
      </rPr>
      <t xml:space="preserve"> Monthly defect trend</t>
    </r>
  </si>
  <si>
    <t>2024</t>
  </si>
  <si>
    <t>2025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</si>
  <si>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</si>
  <si>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</si>
  <si>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</si>
  <si>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</si>
  <si>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</si>
  <si>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</si>
  <si>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</si>
  <si>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</si>
  <si>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</si>
  <si>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</si>
  <si>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</si>
  <si>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</si>
  <si>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</si>
  <si>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</si>
  <si>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</si>
  <si>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</si>
  <si>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Q4:Top 3 operators with lowest defect %</t>
  </si>
  <si>
    <t>Average of defect percentage of each operator</t>
  </si>
  <si>
    <t>Ans: find the average defect of each operator, sort form low to high wich gives the first three lowest defect operators</t>
  </si>
  <si>
    <t>chart also works, it only by sorting we can easily get the first three..if not sorted, we have to manually look for the lowest maong all</t>
  </si>
  <si>
    <t>Ans: production date, defect percentage give in chart</t>
  </si>
  <si>
    <t xml:space="preserve"> and expand the production date to month</t>
  </si>
  <si>
    <t>which gives the sales defect trend</t>
  </si>
  <si>
    <r>
      <t>Q6:</t>
    </r>
    <r>
      <rPr>
        <sz val="11"/>
        <color theme="1"/>
        <rFont val="Calibri"/>
        <family val="2"/>
        <scheme val="minor"/>
      </rPr>
      <t xml:space="preserve"> Critical defect spike days</t>
    </r>
  </si>
  <si>
    <t>Ans: same chart as previous question, just expand again by production date and mark the dates that has crucial spikes of defect.</t>
  </si>
  <si>
    <t>fix one value as normal point and note the values above that point as critical spike 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</si>
</sst>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Font="1"/>
    <xf numFmtId="0" fontId="0" fillId="2" borderId="3" xfId="0" applyFont="1" applyFill="1" applyBorder="1"/>
    <xf numFmtId="0" fontId="0" fillId="3" borderId="3" xfId="0" applyFont="1" applyFill="1" applyBorder="1"/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Font="1" applyFill="1" applyBorder="1"/>
    <xf numFmtId="164" fontId="0" fillId="0" borderId="0" xfId="0" applyNumberFormat="1" applyAlignment="1">
      <alignment horizontal="left" indent="3"/>
    </xf>
  </cellXfs>
  <cellStyles count="1">
    <cellStyle name="Normal" xfId="0" builtinId="0"/>
  </cellStyles>
  <dxfs count="2"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&amp; charts.xlsx]Sheet2!PivotTable1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Sheet2!$A$4:$A$24</c:f>
              <c:strCache>
                <c:ptCount val="20"/>
                <c:pt idx="0">
                  <c:v>M001</c:v>
                </c:pt>
                <c:pt idx="1">
                  <c:v>M002</c:v>
                </c:pt>
                <c:pt idx="2">
                  <c:v>M003</c:v>
                </c:pt>
                <c:pt idx="3">
                  <c:v>M004</c:v>
                </c:pt>
                <c:pt idx="4">
                  <c:v>M005</c:v>
                </c:pt>
                <c:pt idx="5">
                  <c:v>M006</c:v>
                </c:pt>
                <c:pt idx="6">
                  <c:v>M007</c:v>
                </c:pt>
                <c:pt idx="7">
                  <c:v>M008</c:v>
                </c:pt>
                <c:pt idx="8">
                  <c:v>M009</c:v>
                </c:pt>
                <c:pt idx="9">
                  <c:v>M010</c:v>
                </c:pt>
                <c:pt idx="10">
                  <c:v>M011</c:v>
                </c:pt>
                <c:pt idx="11">
                  <c:v>M012</c:v>
                </c:pt>
                <c:pt idx="12">
                  <c:v>M013</c:v>
                </c:pt>
                <c:pt idx="13">
                  <c:v>M014</c:v>
                </c:pt>
                <c:pt idx="14">
                  <c:v>M015</c:v>
                </c:pt>
                <c:pt idx="15">
                  <c:v>M016</c:v>
                </c:pt>
                <c:pt idx="16">
                  <c:v>M017</c:v>
                </c:pt>
                <c:pt idx="17">
                  <c:v>M018</c:v>
                </c:pt>
                <c:pt idx="18">
                  <c:v>M019</c:v>
                </c:pt>
                <c:pt idx="19">
                  <c:v>M020</c:v>
                </c:pt>
              </c:strCache>
            </c:strRef>
          </c:cat>
          <c:val>
            <c:numRef>
              <c:f>Sheet2!$B$4:$B$24</c:f>
              <c:numCache>
                <c:formatCode>0.00</c:formatCode>
                <c:ptCount val="20"/>
                <c:pt idx="0">
                  <c:v>3.3642796478539885</c:v>
                </c:pt>
                <c:pt idx="1">
                  <c:v>4.7112171578903457</c:v>
                </c:pt>
                <c:pt idx="2">
                  <c:v>4.0444054693341069</c:v>
                </c:pt>
                <c:pt idx="3">
                  <c:v>4.901916506125179</c:v>
                </c:pt>
                <c:pt idx="4">
                  <c:v>4.8074831448076765</c:v>
                </c:pt>
                <c:pt idx="5">
                  <c:v>5.1251723373497331</c:v>
                </c:pt>
                <c:pt idx="6">
                  <c:v>4.6163739792234084</c:v>
                </c:pt>
                <c:pt idx="7">
                  <c:v>3.9928669736982871</c:v>
                </c:pt>
                <c:pt idx="8">
                  <c:v>4.2841183004866563</c:v>
                </c:pt>
                <c:pt idx="9">
                  <c:v>4.3342788316325809</c:v>
                </c:pt>
                <c:pt idx="10">
                  <c:v>4.4641655973593695</c:v>
                </c:pt>
                <c:pt idx="11">
                  <c:v>4.8993408406775165</c:v>
                </c:pt>
                <c:pt idx="12">
                  <c:v>4.8000220289565974</c:v>
                </c:pt>
                <c:pt idx="13">
                  <c:v>4.7101885958524132</c:v>
                </c:pt>
                <c:pt idx="14">
                  <c:v>4.8554119876406805</c:v>
                </c:pt>
                <c:pt idx="15">
                  <c:v>4.2928591313907551</c:v>
                </c:pt>
                <c:pt idx="16">
                  <c:v>4.1553132920545393</c:v>
                </c:pt>
                <c:pt idx="17">
                  <c:v>3.8716132636576339</c:v>
                </c:pt>
                <c:pt idx="18">
                  <c:v>3.8517923750583405</c:v>
                </c:pt>
                <c:pt idx="19">
                  <c:v>4.4411666338166462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5-49E3-9189-B7ECA0048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872240"/>
        <c:axId val="1160872720"/>
      </c:barChart>
      <c:catAx>
        <c:axId val="116087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872720"/>
        <c:crosses val="autoZero"/>
        <c:auto val="1"/>
        <c:lblAlgn val="ctr"/>
        <c:lblOffset val="100"/>
        <c:noMultiLvlLbl val="0"/>
      </c:catAx>
      <c:valAx>
        <c:axId val="116087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87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&amp; charts.xlsx]Q4 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 '!$A$2:$A$32</c:f>
              <c:strCache>
                <c:ptCount val="30"/>
                <c:pt idx="0">
                  <c:v>Operator_1</c:v>
                </c:pt>
                <c:pt idx="1">
                  <c:v>Operator_10</c:v>
                </c:pt>
                <c:pt idx="2">
                  <c:v>Operator_11</c:v>
                </c:pt>
                <c:pt idx="3">
                  <c:v>Operator_12</c:v>
                </c:pt>
                <c:pt idx="4">
                  <c:v>Operator_13</c:v>
                </c:pt>
                <c:pt idx="5">
                  <c:v>Operator_14</c:v>
                </c:pt>
                <c:pt idx="6">
                  <c:v>Operator_15</c:v>
                </c:pt>
                <c:pt idx="7">
                  <c:v>Operator_16</c:v>
                </c:pt>
                <c:pt idx="8">
                  <c:v>Operator_17</c:v>
                </c:pt>
                <c:pt idx="9">
                  <c:v>Operator_18</c:v>
                </c:pt>
                <c:pt idx="10">
                  <c:v>Operator_19</c:v>
                </c:pt>
                <c:pt idx="11">
                  <c:v>Operator_2</c:v>
                </c:pt>
                <c:pt idx="12">
                  <c:v>Operator_20</c:v>
                </c:pt>
                <c:pt idx="13">
                  <c:v>Operator_21</c:v>
                </c:pt>
                <c:pt idx="14">
                  <c:v>Operator_22</c:v>
                </c:pt>
                <c:pt idx="15">
                  <c:v>Operator_23</c:v>
                </c:pt>
                <c:pt idx="16">
                  <c:v>Operator_24</c:v>
                </c:pt>
                <c:pt idx="17">
                  <c:v>Operator_25</c:v>
                </c:pt>
                <c:pt idx="18">
                  <c:v>Operator_26</c:v>
                </c:pt>
                <c:pt idx="19">
                  <c:v>Operator_27</c:v>
                </c:pt>
                <c:pt idx="20">
                  <c:v>Operator_28</c:v>
                </c:pt>
                <c:pt idx="21">
                  <c:v>Operator_29</c:v>
                </c:pt>
                <c:pt idx="22">
                  <c:v>Operator_3</c:v>
                </c:pt>
                <c:pt idx="23">
                  <c:v>Operator_30</c:v>
                </c:pt>
                <c:pt idx="24">
                  <c:v>Operator_4</c:v>
                </c:pt>
                <c:pt idx="25">
                  <c:v>Operator_5</c:v>
                </c:pt>
                <c:pt idx="26">
                  <c:v>Operator_6</c:v>
                </c:pt>
                <c:pt idx="27">
                  <c:v>Operator_7</c:v>
                </c:pt>
                <c:pt idx="28">
                  <c:v>Operator_8</c:v>
                </c:pt>
                <c:pt idx="29">
                  <c:v>Operator_9</c:v>
                </c:pt>
              </c:strCache>
            </c:strRef>
          </c:cat>
          <c:val>
            <c:numRef>
              <c:f>'Q4 '!$B$2:$B$32</c:f>
              <c:numCache>
                <c:formatCode>General</c:formatCode>
                <c:ptCount val="30"/>
                <c:pt idx="0">
                  <c:v>5.0499267312432758</c:v>
                </c:pt>
                <c:pt idx="1">
                  <c:v>3.7922449759800503</c:v>
                </c:pt>
                <c:pt idx="2">
                  <c:v>4.7926584653856157</c:v>
                </c:pt>
                <c:pt idx="3">
                  <c:v>4.0062175303044887</c:v>
                </c:pt>
                <c:pt idx="4">
                  <c:v>4.8488523017188037</c:v>
                </c:pt>
                <c:pt idx="5">
                  <c:v>4.5437653064202035</c:v>
                </c:pt>
                <c:pt idx="6">
                  <c:v>4.4196195588547313</c:v>
                </c:pt>
                <c:pt idx="7">
                  <c:v>4.9459110439750305</c:v>
                </c:pt>
                <c:pt idx="8">
                  <c:v>4.4361154935923164</c:v>
                </c:pt>
                <c:pt idx="9">
                  <c:v>3.3166627561550333</c:v>
                </c:pt>
                <c:pt idx="10">
                  <c:v>3.9467402809707837</c:v>
                </c:pt>
                <c:pt idx="11">
                  <c:v>4.3188474796253962</c:v>
                </c:pt>
                <c:pt idx="12">
                  <c:v>4.3581106545456674</c:v>
                </c:pt>
                <c:pt idx="13">
                  <c:v>4.3586143961731354</c:v>
                </c:pt>
                <c:pt idx="14">
                  <c:v>5.0005493009475881</c:v>
                </c:pt>
                <c:pt idx="15">
                  <c:v>4.0269189606307272</c:v>
                </c:pt>
                <c:pt idx="16">
                  <c:v>4.9900658433700134</c:v>
                </c:pt>
                <c:pt idx="17">
                  <c:v>4.4083272466300389</c:v>
                </c:pt>
                <c:pt idx="18">
                  <c:v>3.9476915683697329</c:v>
                </c:pt>
                <c:pt idx="19">
                  <c:v>4.2741410303452287</c:v>
                </c:pt>
                <c:pt idx="20">
                  <c:v>4.2112280287937214</c:v>
                </c:pt>
                <c:pt idx="21">
                  <c:v>4.8893145590206331</c:v>
                </c:pt>
                <c:pt idx="22">
                  <c:v>4.6192548093960024</c:v>
                </c:pt>
                <c:pt idx="23">
                  <c:v>4.2645266345827464</c:v>
                </c:pt>
                <c:pt idx="24">
                  <c:v>4.838621790229336</c:v>
                </c:pt>
                <c:pt idx="25">
                  <c:v>3.9809901753649126</c:v>
                </c:pt>
                <c:pt idx="26">
                  <c:v>4.4232986616352843</c:v>
                </c:pt>
                <c:pt idx="27">
                  <c:v>5.2452801038555874</c:v>
                </c:pt>
                <c:pt idx="28">
                  <c:v>3.6870354672512766</c:v>
                </c:pt>
                <c:pt idx="29">
                  <c:v>4.6938393253287378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0-49EB-A744-CD21BBF6A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058576"/>
        <c:axId val="369055216"/>
      </c:barChart>
      <c:catAx>
        <c:axId val="36905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55216"/>
        <c:crosses val="autoZero"/>
        <c:auto val="1"/>
        <c:lblAlgn val="ctr"/>
        <c:lblOffset val="100"/>
        <c:noMultiLvlLbl val="0"/>
      </c:catAx>
      <c:valAx>
        <c:axId val="3690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5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&amp; charts.xlsx]Sheet6!PivotTable4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</c:spPr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rgbClr val="FF0000"/>
          </a:solidFill>
          <a:ln>
            <a:noFill/>
          </a:ln>
          <a:effectLst/>
        </c:spPr>
      </c:pivotFmt>
      <c:pivotFmt>
        <c:idx val="13"/>
        <c:spPr>
          <a:solidFill>
            <a:srgbClr val="FF0000"/>
          </a:solidFill>
          <a:ln>
            <a:noFill/>
          </a:ln>
          <a:effectLst/>
        </c:spPr>
      </c:pivotFmt>
      <c:pivotFmt>
        <c:idx val="14"/>
        <c:spPr>
          <a:solidFill>
            <a:srgbClr val="FF0000"/>
          </a:solidFill>
          <a:ln>
            <a:noFill/>
          </a:ln>
          <a:effectLst/>
        </c:spPr>
      </c:pivotFmt>
      <c:pivotFmt>
        <c:idx val="15"/>
        <c:spPr>
          <a:solidFill>
            <a:srgbClr val="FF0000"/>
          </a:solidFill>
          <a:ln>
            <a:noFill/>
          </a:ln>
          <a:effectLst/>
        </c:spPr>
      </c:pivotFmt>
      <c:pivotFmt>
        <c:idx val="16"/>
        <c:spPr>
          <a:solidFill>
            <a:srgbClr val="FF0000"/>
          </a:solidFill>
          <a:ln>
            <a:noFill/>
          </a:ln>
          <a:effectLst/>
        </c:spPr>
      </c:pivotFmt>
      <c:pivotFmt>
        <c:idx val="17"/>
        <c:spPr>
          <a:solidFill>
            <a:srgbClr val="FF0000"/>
          </a:solidFill>
          <a:ln>
            <a:noFill/>
          </a:ln>
          <a:effectLst/>
        </c:spPr>
      </c:pivotFmt>
      <c:pivotFmt>
        <c:idx val="18"/>
        <c:spPr>
          <a:solidFill>
            <a:srgbClr val="FF0000"/>
          </a:solidFill>
          <a:ln>
            <a:noFill/>
          </a:ln>
          <a:effectLst/>
        </c:spP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</c:pivotFmt>
      <c:pivotFmt>
        <c:idx val="20"/>
        <c:spPr>
          <a:solidFill>
            <a:srgbClr val="FF0000"/>
          </a:solidFill>
          <a:ln>
            <a:noFill/>
          </a:ln>
          <a:effectLst/>
        </c:spPr>
      </c:pivotFmt>
      <c:pivotFmt>
        <c:idx val="21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E6-4CF5-AE9D-E098109E3AB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9E6-4CF5-AE9D-E098109E3AB2}"/>
              </c:ext>
            </c:extLst>
          </c:dPt>
          <c:dPt>
            <c:idx val="2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9E6-4CF5-AE9D-E098109E3AB2}"/>
              </c:ext>
            </c:extLst>
          </c:dPt>
          <c:dPt>
            <c:idx val="5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E6-4CF5-AE9D-E098109E3AB2}"/>
              </c:ext>
            </c:extLst>
          </c:dPt>
          <c:dPt>
            <c:idx val="5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9E6-4CF5-AE9D-E098109E3AB2}"/>
              </c:ext>
            </c:extLst>
          </c:dPt>
          <c:dPt>
            <c:idx val="7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9E6-4CF5-AE9D-E098109E3AB2}"/>
              </c:ext>
            </c:extLst>
          </c:dPt>
          <c:dPt>
            <c:idx val="8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9E6-4CF5-AE9D-E098109E3AB2}"/>
              </c:ext>
            </c:extLst>
          </c:dPt>
          <c:dPt>
            <c:idx val="8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9E6-4CF5-AE9D-E098109E3AB2}"/>
              </c:ext>
            </c:extLst>
          </c:dPt>
          <c:dPt>
            <c:idx val="8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9E6-4CF5-AE9D-E098109E3AB2}"/>
              </c:ext>
            </c:extLst>
          </c:dPt>
          <c:dPt>
            <c:idx val="10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9E6-4CF5-AE9D-E098109E3AB2}"/>
              </c:ext>
            </c:extLst>
          </c:dPt>
          <c:dPt>
            <c:idx val="16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9E6-4CF5-AE9D-E098109E3AB2}"/>
              </c:ext>
            </c:extLst>
          </c:dPt>
          <c:dPt>
            <c:idx val="16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9E6-4CF5-AE9D-E098109E3AB2}"/>
              </c:ext>
            </c:extLst>
          </c:dPt>
          <c:dPt>
            <c:idx val="17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9E6-4CF5-AE9D-E098109E3AB2}"/>
              </c:ext>
            </c:extLst>
          </c:dPt>
          <c:dPt>
            <c:idx val="19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9E6-4CF5-AE9D-E098109E3AB2}"/>
              </c:ext>
            </c:extLst>
          </c:dPt>
          <c:dPt>
            <c:idx val="22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9E6-4CF5-AE9D-E098109E3AB2}"/>
              </c:ext>
            </c:extLst>
          </c:dPt>
          <c:dPt>
            <c:idx val="23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9E6-4CF5-AE9D-E098109E3AB2}"/>
              </c:ext>
            </c:extLst>
          </c:dPt>
          <c:dPt>
            <c:idx val="2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89E6-4CF5-AE9D-E098109E3AB2}"/>
              </c:ext>
            </c:extLst>
          </c:dPt>
          <c:dPt>
            <c:idx val="28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9E6-4CF5-AE9D-E098109E3AB2}"/>
              </c:ext>
            </c:extLst>
          </c:dPt>
          <c:dPt>
            <c:idx val="29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89E6-4CF5-AE9D-E098109E3AB2}"/>
              </c:ext>
            </c:extLst>
          </c:dPt>
          <c:dPt>
            <c:idx val="32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9E6-4CF5-AE9D-E098109E3AB2}"/>
              </c:ext>
            </c:extLst>
          </c:dPt>
          <c:dPt>
            <c:idx val="32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9E6-4CF5-AE9D-E098109E3AB2}"/>
              </c:ext>
            </c:extLst>
          </c:dPt>
          <c:cat>
            <c:multiLvlStrRef>
              <c:f>Sheet6!$A$2:$A$382</c:f>
              <c:multiLvlStrCache>
                <c:ptCount val="346"/>
                <c:lvl>
                  <c:pt idx="0">
                    <c:v>2024-01-02 00:00:00</c:v>
                  </c:pt>
                  <c:pt idx="1">
                    <c:v>2024-01-05 00:00:00</c:v>
                  </c:pt>
                  <c:pt idx="2">
                    <c:v>2024-01-09 00:00:00</c:v>
                  </c:pt>
                  <c:pt idx="3">
                    <c:v>2024-01-14 00:00:00</c:v>
                  </c:pt>
                  <c:pt idx="4">
                    <c:v>2024-01-15 00:00:00</c:v>
                  </c:pt>
                  <c:pt idx="5">
                    <c:v>2024-01-16 00:00:00</c:v>
                  </c:pt>
                  <c:pt idx="6">
                    <c:v>2024-01-17 00:00:00</c:v>
                  </c:pt>
                  <c:pt idx="7">
                    <c:v>2024-01-18 00:00:00</c:v>
                  </c:pt>
                  <c:pt idx="8">
                    <c:v>2024-01-20 00:00:00</c:v>
                  </c:pt>
                  <c:pt idx="9">
                    <c:v>2024-01-21 00:00:00</c:v>
                  </c:pt>
                  <c:pt idx="10">
                    <c:v>2024-01-22 00:00:00</c:v>
                  </c:pt>
                  <c:pt idx="11">
                    <c:v>2024-01-23 00:00:00</c:v>
                  </c:pt>
                  <c:pt idx="12">
                    <c:v>2024-01-27 00:00:00</c:v>
                  </c:pt>
                  <c:pt idx="13">
                    <c:v>2024-01-28 00:00:00</c:v>
                  </c:pt>
                  <c:pt idx="14">
                    <c:v>2024-02-02 00:00:00</c:v>
                  </c:pt>
                  <c:pt idx="15">
                    <c:v>2024-02-04 00:00:00</c:v>
                  </c:pt>
                  <c:pt idx="16">
                    <c:v>2024-02-05 00:00:00</c:v>
                  </c:pt>
                  <c:pt idx="17">
                    <c:v>2024-02-06 00:00:00</c:v>
                  </c:pt>
                  <c:pt idx="18">
                    <c:v>2024-02-07 00:00:00</c:v>
                  </c:pt>
                  <c:pt idx="19">
                    <c:v>2024-02-08 00:00:00</c:v>
                  </c:pt>
                  <c:pt idx="20">
                    <c:v>2024-02-10 00:00:00</c:v>
                  </c:pt>
                  <c:pt idx="21">
                    <c:v>2024-02-15 00:00:00</c:v>
                  </c:pt>
                  <c:pt idx="22">
                    <c:v>2024-02-16 00:00:00</c:v>
                  </c:pt>
                  <c:pt idx="23">
                    <c:v>2024-02-17 00:00:00</c:v>
                  </c:pt>
                  <c:pt idx="24">
                    <c:v>2024-02-18 00:00:00</c:v>
                  </c:pt>
                  <c:pt idx="25">
                    <c:v>2024-02-20 00:00:00</c:v>
                  </c:pt>
                  <c:pt idx="26">
                    <c:v>2024-02-22 00:00:00</c:v>
                  </c:pt>
                  <c:pt idx="27">
                    <c:v>2024-02-23 00:00:00</c:v>
                  </c:pt>
                  <c:pt idx="28">
                    <c:v>2024-02-27 00:00:00</c:v>
                  </c:pt>
                  <c:pt idx="29">
                    <c:v>2024-02-28 00:00:00</c:v>
                  </c:pt>
                  <c:pt idx="30">
                    <c:v>2024-03-03 00:00:00</c:v>
                  </c:pt>
                  <c:pt idx="31">
                    <c:v>2024-03-05 00:00:00</c:v>
                  </c:pt>
                  <c:pt idx="32">
                    <c:v>2024-03-09 00:00:00</c:v>
                  </c:pt>
                  <c:pt idx="33">
                    <c:v>2024-03-12 00:00:00</c:v>
                  </c:pt>
                  <c:pt idx="34">
                    <c:v>2024-03-16 00:00:00</c:v>
                  </c:pt>
                  <c:pt idx="35">
                    <c:v>2024-03-21 00:00:00</c:v>
                  </c:pt>
                  <c:pt idx="36">
                    <c:v>2024-03-26 00:00:00</c:v>
                  </c:pt>
                  <c:pt idx="37">
                    <c:v>2024-03-28 00:00:00</c:v>
                  </c:pt>
                  <c:pt idx="38">
                    <c:v>2024-04-01 00:00:00</c:v>
                  </c:pt>
                  <c:pt idx="39">
                    <c:v>2024-04-03 00:00:00</c:v>
                  </c:pt>
                  <c:pt idx="40">
                    <c:v>2024-04-05 00:00:00</c:v>
                  </c:pt>
                  <c:pt idx="41">
                    <c:v>2024-04-08 00:00:00</c:v>
                  </c:pt>
                  <c:pt idx="42">
                    <c:v>2024-04-09 00:00:00</c:v>
                  </c:pt>
                  <c:pt idx="43">
                    <c:v>2024-04-12 00:00:00</c:v>
                  </c:pt>
                  <c:pt idx="44">
                    <c:v>2024-04-13 00:00:00</c:v>
                  </c:pt>
                  <c:pt idx="45">
                    <c:v>2024-04-15 00:00:00</c:v>
                  </c:pt>
                  <c:pt idx="46">
                    <c:v>2024-04-16 00:00:00</c:v>
                  </c:pt>
                  <c:pt idx="47">
                    <c:v>2024-04-21 00:00:00</c:v>
                  </c:pt>
                  <c:pt idx="48">
                    <c:v>2024-04-22 00:00:00</c:v>
                  </c:pt>
                  <c:pt idx="49">
                    <c:v>2024-04-25 00:00:00</c:v>
                  </c:pt>
                  <c:pt idx="50">
                    <c:v>2024-04-26 00:00:00</c:v>
                  </c:pt>
                  <c:pt idx="51">
                    <c:v>2024-04-27 00:00:00</c:v>
                  </c:pt>
                  <c:pt idx="52">
                    <c:v>2024-04-29 00:00:00</c:v>
                  </c:pt>
                  <c:pt idx="53">
                    <c:v>2024-05-01 00:00:00</c:v>
                  </c:pt>
                  <c:pt idx="54">
                    <c:v>2024-05-02 00:00:00</c:v>
                  </c:pt>
                  <c:pt idx="55">
                    <c:v>2024-05-03 00:00:00</c:v>
                  </c:pt>
                  <c:pt idx="56">
                    <c:v>2024-05-04 00:00:00</c:v>
                  </c:pt>
                  <c:pt idx="57">
                    <c:v>2024-05-06 00:00:00</c:v>
                  </c:pt>
                  <c:pt idx="58">
                    <c:v>2024-05-07 00:00:00</c:v>
                  </c:pt>
                  <c:pt idx="59">
                    <c:v>2024-05-08 00:00:00</c:v>
                  </c:pt>
                  <c:pt idx="60">
                    <c:v>2024-05-09 00:00:00</c:v>
                  </c:pt>
                  <c:pt idx="61">
                    <c:v>2024-05-10 00:00:00</c:v>
                  </c:pt>
                  <c:pt idx="62">
                    <c:v>2024-05-14 00:00:00</c:v>
                  </c:pt>
                  <c:pt idx="63">
                    <c:v>2024-05-18 00:00:00</c:v>
                  </c:pt>
                  <c:pt idx="64">
                    <c:v>2024-05-22 00:00:00</c:v>
                  </c:pt>
                  <c:pt idx="65">
                    <c:v>2024-05-23 00:00:00</c:v>
                  </c:pt>
                  <c:pt idx="66">
                    <c:v>2024-05-26 00:00:00</c:v>
                  </c:pt>
                  <c:pt idx="67">
                    <c:v>2024-05-27 00:00:00</c:v>
                  </c:pt>
                  <c:pt idx="68">
                    <c:v>2024-05-29 00:00:00</c:v>
                  </c:pt>
                  <c:pt idx="69">
                    <c:v>2024-05-30 00:00:00</c:v>
                  </c:pt>
                  <c:pt idx="70">
                    <c:v>2024-05-31 00:00:00</c:v>
                  </c:pt>
                  <c:pt idx="71">
                    <c:v>2024-06-01 00:00:00</c:v>
                  </c:pt>
                  <c:pt idx="72">
                    <c:v>2024-06-02 00:00:00</c:v>
                  </c:pt>
                  <c:pt idx="73">
                    <c:v>2024-06-03 00:00:00</c:v>
                  </c:pt>
                  <c:pt idx="74">
                    <c:v>2024-06-05 00:00:00</c:v>
                  </c:pt>
                  <c:pt idx="75">
                    <c:v>2024-06-06 00:00:00</c:v>
                  </c:pt>
                  <c:pt idx="76">
                    <c:v>2024-06-08 00:00:00</c:v>
                  </c:pt>
                  <c:pt idx="77">
                    <c:v>2024-06-09 00:00:00</c:v>
                  </c:pt>
                  <c:pt idx="78">
                    <c:v>2024-06-10 00:00:00</c:v>
                  </c:pt>
                  <c:pt idx="79">
                    <c:v>2024-06-11 00:00:00</c:v>
                  </c:pt>
                  <c:pt idx="80">
                    <c:v>2024-06-15 00:00:00</c:v>
                  </c:pt>
                  <c:pt idx="81">
                    <c:v>2024-06-19 00:00:00</c:v>
                  </c:pt>
                  <c:pt idx="82">
                    <c:v>2024-06-20 00:00:00</c:v>
                  </c:pt>
                  <c:pt idx="83">
                    <c:v>2024-06-24 00:00:00</c:v>
                  </c:pt>
                  <c:pt idx="84">
                    <c:v>2024-06-28 00:00:00</c:v>
                  </c:pt>
                  <c:pt idx="85">
                    <c:v>2024-06-29 00:00:00</c:v>
                  </c:pt>
                  <c:pt idx="86">
                    <c:v>2024-07-02 00:00:00</c:v>
                  </c:pt>
                  <c:pt idx="87">
                    <c:v>2024-07-05 00:00:00</c:v>
                  </c:pt>
                  <c:pt idx="88">
                    <c:v>2024-07-06 00:00:00</c:v>
                  </c:pt>
                  <c:pt idx="89">
                    <c:v>2024-07-07 00:00:00</c:v>
                  </c:pt>
                  <c:pt idx="90">
                    <c:v>2024-07-08 00:00:00</c:v>
                  </c:pt>
                  <c:pt idx="91">
                    <c:v>2024-07-09 00:00:00</c:v>
                  </c:pt>
                  <c:pt idx="92">
                    <c:v>2024-07-10 00:00:00</c:v>
                  </c:pt>
                  <c:pt idx="93">
                    <c:v>2024-07-13 00:00:00</c:v>
                  </c:pt>
                  <c:pt idx="94">
                    <c:v>2024-07-14 00:00:00</c:v>
                  </c:pt>
                  <c:pt idx="95">
                    <c:v>2024-07-16 00:00:00</c:v>
                  </c:pt>
                  <c:pt idx="96">
                    <c:v>2024-07-19 00:00:00</c:v>
                  </c:pt>
                  <c:pt idx="97">
                    <c:v>2024-07-20 00:00:00</c:v>
                  </c:pt>
                  <c:pt idx="98">
                    <c:v>2024-07-21 00:00:00</c:v>
                  </c:pt>
                  <c:pt idx="99">
                    <c:v>2024-07-22 00:00:00</c:v>
                  </c:pt>
                  <c:pt idx="100">
                    <c:v>2024-07-24 00:00:00</c:v>
                  </c:pt>
                  <c:pt idx="101">
                    <c:v>2024-07-25 00:00:00</c:v>
                  </c:pt>
                  <c:pt idx="102">
                    <c:v>2024-07-26 00:00:00</c:v>
                  </c:pt>
                  <c:pt idx="103">
                    <c:v>2024-08-02 00:00:00</c:v>
                  </c:pt>
                  <c:pt idx="104">
                    <c:v>2024-08-04 00:00:00</c:v>
                  </c:pt>
                  <c:pt idx="105">
                    <c:v>2024-08-05 00:00:00</c:v>
                  </c:pt>
                  <c:pt idx="106">
                    <c:v>2024-08-07 00:00:00</c:v>
                  </c:pt>
                  <c:pt idx="107">
                    <c:v>2024-08-10 00:00:00</c:v>
                  </c:pt>
                  <c:pt idx="108">
                    <c:v>2024-08-12 00:00:00</c:v>
                  </c:pt>
                  <c:pt idx="109">
                    <c:v>2024-08-13 00:00:00</c:v>
                  </c:pt>
                  <c:pt idx="110">
                    <c:v>2024-08-14 00:00:00</c:v>
                  </c:pt>
                  <c:pt idx="111">
                    <c:v>2024-08-17 00:00:00</c:v>
                  </c:pt>
                  <c:pt idx="112">
                    <c:v>2024-08-18 00:00:00</c:v>
                  </c:pt>
                  <c:pt idx="113">
                    <c:v>2024-08-20 00:00:00</c:v>
                  </c:pt>
                  <c:pt idx="114">
                    <c:v>2024-08-21 00:00:00</c:v>
                  </c:pt>
                  <c:pt idx="115">
                    <c:v>2024-08-24 00:00:00</c:v>
                  </c:pt>
                  <c:pt idx="116">
                    <c:v>2024-08-28 00:00:00</c:v>
                  </c:pt>
                  <c:pt idx="117">
                    <c:v>2024-08-29 00:00:00</c:v>
                  </c:pt>
                  <c:pt idx="118">
                    <c:v>2024-08-30 00:00:00</c:v>
                  </c:pt>
                  <c:pt idx="119">
                    <c:v>2024-08-31 00:00:00</c:v>
                  </c:pt>
                  <c:pt idx="120">
                    <c:v>2024-09-02 00:00:00</c:v>
                  </c:pt>
                  <c:pt idx="121">
                    <c:v>2024-09-03 00:00:00</c:v>
                  </c:pt>
                  <c:pt idx="122">
                    <c:v>2024-09-08 00:00:00</c:v>
                  </c:pt>
                  <c:pt idx="123">
                    <c:v>2024-09-09 00:00:00</c:v>
                  </c:pt>
                  <c:pt idx="124">
                    <c:v>2024-09-10 00:00:00</c:v>
                  </c:pt>
                  <c:pt idx="125">
                    <c:v>2024-09-12 00:00:00</c:v>
                  </c:pt>
                  <c:pt idx="126">
                    <c:v>2024-09-14 00:00:00</c:v>
                  </c:pt>
                  <c:pt idx="127">
                    <c:v>2024-09-15 00:00:00</c:v>
                  </c:pt>
                  <c:pt idx="128">
                    <c:v>2024-09-19 00:00:00</c:v>
                  </c:pt>
                  <c:pt idx="129">
                    <c:v>2024-09-20 00:00:00</c:v>
                  </c:pt>
                  <c:pt idx="130">
                    <c:v>2024-09-24 00:00:00</c:v>
                  </c:pt>
                  <c:pt idx="131">
                    <c:v>2024-09-25 00:00:00</c:v>
                  </c:pt>
                  <c:pt idx="132">
                    <c:v>2024-09-26 00:00:00</c:v>
                  </c:pt>
                  <c:pt idx="133">
                    <c:v>2024-09-27 00:00:00</c:v>
                  </c:pt>
                  <c:pt idx="134">
                    <c:v>2024-09-28 00:00:00</c:v>
                  </c:pt>
                  <c:pt idx="135">
                    <c:v>2024-09-30 00:00:00</c:v>
                  </c:pt>
                  <c:pt idx="136">
                    <c:v>2024-10-03 00:00:00</c:v>
                  </c:pt>
                  <c:pt idx="137">
                    <c:v>2024-10-06 00:00:00</c:v>
                  </c:pt>
                  <c:pt idx="138">
                    <c:v>2024-10-09 00:00:00</c:v>
                  </c:pt>
                  <c:pt idx="139">
                    <c:v>2024-10-10 00:00:00</c:v>
                  </c:pt>
                  <c:pt idx="140">
                    <c:v>2024-10-11 00:00:00</c:v>
                  </c:pt>
                  <c:pt idx="141">
                    <c:v>2024-10-14 00:00:00</c:v>
                  </c:pt>
                  <c:pt idx="142">
                    <c:v>2024-10-15 00:00:00</c:v>
                  </c:pt>
                  <c:pt idx="143">
                    <c:v>2024-10-20 00:00:00</c:v>
                  </c:pt>
                  <c:pt idx="144">
                    <c:v>2024-10-22 00:00:00</c:v>
                  </c:pt>
                  <c:pt idx="145">
                    <c:v>2024-10-24 00:00:00</c:v>
                  </c:pt>
                  <c:pt idx="146">
                    <c:v>2024-10-28 00:00:00</c:v>
                  </c:pt>
                  <c:pt idx="147">
                    <c:v>2024-10-30 00:00:00</c:v>
                  </c:pt>
                  <c:pt idx="148">
                    <c:v>2024-10-31 00:00:00</c:v>
                  </c:pt>
                  <c:pt idx="149">
                    <c:v>2024-11-04 00:00:00</c:v>
                  </c:pt>
                  <c:pt idx="150">
                    <c:v>2024-11-09 00:00:00</c:v>
                  </c:pt>
                  <c:pt idx="151">
                    <c:v>2024-11-11 00:00:00</c:v>
                  </c:pt>
                  <c:pt idx="152">
                    <c:v>2024-11-13 00:00:00</c:v>
                  </c:pt>
                  <c:pt idx="153">
                    <c:v>2024-11-16 00:00:00</c:v>
                  </c:pt>
                  <c:pt idx="154">
                    <c:v>2024-11-18 00:00:00</c:v>
                  </c:pt>
                  <c:pt idx="155">
                    <c:v>2024-11-20 00:00:00</c:v>
                  </c:pt>
                  <c:pt idx="156">
                    <c:v>2024-11-21 00:00:00</c:v>
                  </c:pt>
                  <c:pt idx="157">
                    <c:v>2024-11-26 00:00:00</c:v>
                  </c:pt>
                  <c:pt idx="158">
                    <c:v>2024-12-01 00:00:00</c:v>
                  </c:pt>
                  <c:pt idx="159">
                    <c:v>2024-12-03 00:00:00</c:v>
                  </c:pt>
                  <c:pt idx="160">
                    <c:v>2024-12-05 00:00:00</c:v>
                  </c:pt>
                  <c:pt idx="161">
                    <c:v>2024-12-06 00:00:00</c:v>
                  </c:pt>
                  <c:pt idx="162">
                    <c:v>2024-12-07 00:00:00</c:v>
                  </c:pt>
                  <c:pt idx="163">
                    <c:v>2024-12-09 00:00:00</c:v>
                  </c:pt>
                  <c:pt idx="164">
                    <c:v>2024-12-11 00:00:00</c:v>
                  </c:pt>
                  <c:pt idx="165">
                    <c:v>2024-12-13 00:00:00</c:v>
                  </c:pt>
                  <c:pt idx="166">
                    <c:v>2024-12-14 00:00:00</c:v>
                  </c:pt>
                  <c:pt idx="167">
                    <c:v>2024-12-15 00:00:00</c:v>
                  </c:pt>
                  <c:pt idx="168">
                    <c:v>2024-12-19 00:00:00</c:v>
                  </c:pt>
                  <c:pt idx="169">
                    <c:v>2024-12-22 00:00:00</c:v>
                  </c:pt>
                  <c:pt idx="170">
                    <c:v>2024-12-24 00:00:00</c:v>
                  </c:pt>
                  <c:pt idx="171">
                    <c:v>2024-12-30 00:00:00</c:v>
                  </c:pt>
                  <c:pt idx="172">
                    <c:v>2025-01-01 00:00:00</c:v>
                  </c:pt>
                  <c:pt idx="173">
                    <c:v>2025-01-04 00:00:00</c:v>
                  </c:pt>
                  <c:pt idx="174">
                    <c:v>2025-01-07 00:00:00</c:v>
                  </c:pt>
                  <c:pt idx="175">
                    <c:v>2025-01-08 00:00:00</c:v>
                  </c:pt>
                  <c:pt idx="176">
                    <c:v>2025-01-09 00:00:00</c:v>
                  </c:pt>
                  <c:pt idx="177">
                    <c:v>2025-01-11 00:00:00</c:v>
                  </c:pt>
                  <c:pt idx="178">
                    <c:v>2025-01-13 00:00:00</c:v>
                  </c:pt>
                  <c:pt idx="179">
                    <c:v>2025-01-14 00:00:00</c:v>
                  </c:pt>
                  <c:pt idx="180">
                    <c:v>2025-01-19 00:00:00</c:v>
                  </c:pt>
                  <c:pt idx="181">
                    <c:v>2025-01-20 00:00:00</c:v>
                  </c:pt>
                  <c:pt idx="182">
                    <c:v>2025-01-21 00:00:00</c:v>
                  </c:pt>
                  <c:pt idx="183">
                    <c:v>2025-01-22 00:00:00</c:v>
                  </c:pt>
                  <c:pt idx="184">
                    <c:v>2025-01-24 00:00:00</c:v>
                  </c:pt>
                  <c:pt idx="185">
                    <c:v>2025-01-26 00:00:00</c:v>
                  </c:pt>
                  <c:pt idx="186">
                    <c:v>2025-01-27 00:00:00</c:v>
                  </c:pt>
                  <c:pt idx="187">
                    <c:v>2025-02-01 00:00:00</c:v>
                  </c:pt>
                  <c:pt idx="188">
                    <c:v>2025-02-03 00:00:00</c:v>
                  </c:pt>
                  <c:pt idx="189">
                    <c:v>2025-02-04 00:00:00</c:v>
                  </c:pt>
                  <c:pt idx="190">
                    <c:v>2025-02-05 00:00:00</c:v>
                  </c:pt>
                  <c:pt idx="191">
                    <c:v>2025-02-06 00:00:00</c:v>
                  </c:pt>
                  <c:pt idx="192">
                    <c:v>2025-02-07 00:00:00</c:v>
                  </c:pt>
                  <c:pt idx="193">
                    <c:v>2025-02-10 00:00:00</c:v>
                  </c:pt>
                  <c:pt idx="194">
                    <c:v>2025-02-11 00:00:00</c:v>
                  </c:pt>
                  <c:pt idx="195">
                    <c:v>2025-02-14 00:00:00</c:v>
                  </c:pt>
                  <c:pt idx="196">
                    <c:v>2025-02-17 00:00:00</c:v>
                  </c:pt>
                  <c:pt idx="197">
                    <c:v>2025-02-18 00:00:00</c:v>
                  </c:pt>
                  <c:pt idx="198">
                    <c:v>2025-02-19 00:00:00</c:v>
                  </c:pt>
                  <c:pt idx="199">
                    <c:v>2025-02-22 00:00:00</c:v>
                  </c:pt>
                  <c:pt idx="200">
                    <c:v>2025-02-23 00:00:00</c:v>
                  </c:pt>
                  <c:pt idx="201">
                    <c:v>2025-02-25 00:00:00</c:v>
                  </c:pt>
                  <c:pt idx="202">
                    <c:v>2025-03-03 00:00:00</c:v>
                  </c:pt>
                  <c:pt idx="203">
                    <c:v>2025-03-07 00:00:00</c:v>
                  </c:pt>
                  <c:pt idx="204">
                    <c:v>2025-03-10 00:00:00</c:v>
                  </c:pt>
                  <c:pt idx="205">
                    <c:v>2025-03-11 00:00:00</c:v>
                  </c:pt>
                  <c:pt idx="206">
                    <c:v>2025-03-13 00:00:00</c:v>
                  </c:pt>
                  <c:pt idx="207">
                    <c:v>2025-03-14 00:00:00</c:v>
                  </c:pt>
                  <c:pt idx="208">
                    <c:v>2025-03-17 00:00:00</c:v>
                  </c:pt>
                  <c:pt idx="209">
                    <c:v>2025-03-19 00:00:00</c:v>
                  </c:pt>
                  <c:pt idx="210">
                    <c:v>2025-03-22 00:00:00</c:v>
                  </c:pt>
                  <c:pt idx="211">
                    <c:v>2025-03-28 00:00:00</c:v>
                  </c:pt>
                  <c:pt idx="212">
                    <c:v>2025-03-30 00:00:00</c:v>
                  </c:pt>
                  <c:pt idx="213">
                    <c:v>2025-03-31 00:00:00</c:v>
                  </c:pt>
                  <c:pt idx="214">
                    <c:v>2025-04-03 00:00:00</c:v>
                  </c:pt>
                  <c:pt idx="215">
                    <c:v>2025-04-04 00:00:00</c:v>
                  </c:pt>
                  <c:pt idx="216">
                    <c:v>2025-04-05 00:00:00</c:v>
                  </c:pt>
                  <c:pt idx="217">
                    <c:v>2025-04-06 00:00:00</c:v>
                  </c:pt>
                  <c:pt idx="218">
                    <c:v>2025-04-08 00:00:00</c:v>
                  </c:pt>
                  <c:pt idx="219">
                    <c:v>2025-04-11 00:00:00</c:v>
                  </c:pt>
                  <c:pt idx="220">
                    <c:v>2025-04-14 00:00:00</c:v>
                  </c:pt>
                  <c:pt idx="221">
                    <c:v>2025-04-15 00:00:00</c:v>
                  </c:pt>
                  <c:pt idx="222">
                    <c:v>2025-04-16 00:00:00</c:v>
                  </c:pt>
                  <c:pt idx="223">
                    <c:v>2025-04-17 00:00:00</c:v>
                  </c:pt>
                  <c:pt idx="224">
                    <c:v>2025-04-18 00:00:00</c:v>
                  </c:pt>
                  <c:pt idx="225">
                    <c:v>2025-04-19 00:00:00</c:v>
                  </c:pt>
                  <c:pt idx="226">
                    <c:v>2025-04-20 00:00:00</c:v>
                  </c:pt>
                  <c:pt idx="227">
                    <c:v>2025-04-21 00:00:00</c:v>
                  </c:pt>
                  <c:pt idx="228">
                    <c:v>2025-04-25 00:00:00</c:v>
                  </c:pt>
                  <c:pt idx="229">
                    <c:v>2025-04-29 00:00:00</c:v>
                  </c:pt>
                  <c:pt idx="230">
                    <c:v>2025-05-02 00:00:00</c:v>
                  </c:pt>
                  <c:pt idx="231">
                    <c:v>2025-05-03 00:00:00</c:v>
                  </c:pt>
                  <c:pt idx="232">
                    <c:v>2025-05-04 00:00:00</c:v>
                  </c:pt>
                  <c:pt idx="233">
                    <c:v>2025-05-06 00:00:00</c:v>
                  </c:pt>
                  <c:pt idx="234">
                    <c:v>2025-05-07 00:00:00</c:v>
                  </c:pt>
                  <c:pt idx="235">
                    <c:v>2025-05-11 00:00:00</c:v>
                  </c:pt>
                  <c:pt idx="236">
                    <c:v>2025-05-13 00:00:00</c:v>
                  </c:pt>
                  <c:pt idx="237">
                    <c:v>2025-05-17 00:00:00</c:v>
                  </c:pt>
                  <c:pt idx="238">
                    <c:v>2025-05-18 00:00:00</c:v>
                  </c:pt>
                  <c:pt idx="239">
                    <c:v>2025-05-19 00:00:00</c:v>
                  </c:pt>
                  <c:pt idx="240">
                    <c:v>2025-05-20 00:00:00</c:v>
                  </c:pt>
                  <c:pt idx="241">
                    <c:v>2025-05-23 00:00:00</c:v>
                  </c:pt>
                  <c:pt idx="242">
                    <c:v>2025-05-24 00:00:00</c:v>
                  </c:pt>
                  <c:pt idx="243">
                    <c:v>2025-05-25 00:00:00</c:v>
                  </c:pt>
                  <c:pt idx="244">
                    <c:v>2025-05-26 00:00:00</c:v>
                  </c:pt>
                  <c:pt idx="245">
                    <c:v>2025-05-27 00:00:00</c:v>
                  </c:pt>
                  <c:pt idx="246">
                    <c:v>2025-05-30 00:00:00</c:v>
                  </c:pt>
                  <c:pt idx="247">
                    <c:v>2025-06-01 00:00:00</c:v>
                  </c:pt>
                  <c:pt idx="248">
                    <c:v>2025-06-04 00:00:00</c:v>
                  </c:pt>
                  <c:pt idx="249">
                    <c:v>2025-06-05 00:00:00</c:v>
                  </c:pt>
                  <c:pt idx="250">
                    <c:v>2025-06-08 00:00:00</c:v>
                  </c:pt>
                  <c:pt idx="251">
                    <c:v>2025-06-21 00:00:00</c:v>
                  </c:pt>
                  <c:pt idx="252">
                    <c:v>2025-06-24 00:00:00</c:v>
                  </c:pt>
                  <c:pt idx="253">
                    <c:v>2025-06-30 00:00:00</c:v>
                  </c:pt>
                  <c:pt idx="254">
                    <c:v>2025-07-04 00:00:00</c:v>
                  </c:pt>
                  <c:pt idx="255">
                    <c:v>2025-07-07 00:00:00</c:v>
                  </c:pt>
                  <c:pt idx="256">
                    <c:v>2025-07-09 00:00:00</c:v>
                  </c:pt>
                  <c:pt idx="257">
                    <c:v>2025-07-10 00:00:00</c:v>
                  </c:pt>
                  <c:pt idx="258">
                    <c:v>2025-07-13 00:00:00</c:v>
                  </c:pt>
                  <c:pt idx="259">
                    <c:v>2025-07-14 00:00:00</c:v>
                  </c:pt>
                  <c:pt idx="260">
                    <c:v>2025-07-15 00:00:00</c:v>
                  </c:pt>
                  <c:pt idx="261">
                    <c:v>2025-07-16 00:00:00</c:v>
                  </c:pt>
                  <c:pt idx="262">
                    <c:v>2025-07-17 00:00:00</c:v>
                  </c:pt>
                  <c:pt idx="263">
                    <c:v>2025-07-18 00:00:00</c:v>
                  </c:pt>
                  <c:pt idx="264">
                    <c:v>2025-07-19 00:00:00</c:v>
                  </c:pt>
                  <c:pt idx="265">
                    <c:v>2025-07-20 00:00:00</c:v>
                  </c:pt>
                  <c:pt idx="266">
                    <c:v>2025-07-23 00:00:00</c:v>
                  </c:pt>
                  <c:pt idx="267">
                    <c:v>2025-07-25 00:00:00</c:v>
                  </c:pt>
                  <c:pt idx="268">
                    <c:v>2025-07-27 00:00:00</c:v>
                  </c:pt>
                  <c:pt idx="269">
                    <c:v>2025-07-28 00:00:00</c:v>
                  </c:pt>
                  <c:pt idx="270">
                    <c:v>2025-07-31 00:00:00</c:v>
                  </c:pt>
                  <c:pt idx="271">
                    <c:v>2025-08-02 00:00:00</c:v>
                  </c:pt>
                  <c:pt idx="272">
                    <c:v>2025-08-03 00:00:00</c:v>
                  </c:pt>
                  <c:pt idx="273">
                    <c:v>2025-08-09 00:00:00</c:v>
                  </c:pt>
                  <c:pt idx="274">
                    <c:v>2025-08-15 00:00:00</c:v>
                  </c:pt>
                  <c:pt idx="275">
                    <c:v>2025-08-23 00:00:00</c:v>
                  </c:pt>
                  <c:pt idx="276">
                    <c:v>2025-08-26 00:00:00</c:v>
                  </c:pt>
                  <c:pt idx="277">
                    <c:v>2025-08-29 00:00:00</c:v>
                  </c:pt>
                  <c:pt idx="278">
                    <c:v>2025-08-30 00:00:00</c:v>
                  </c:pt>
                  <c:pt idx="279">
                    <c:v>2025-08-31 00:00:00</c:v>
                  </c:pt>
                  <c:pt idx="280">
                    <c:v>2025-09-01 00:00:00</c:v>
                  </c:pt>
                  <c:pt idx="281">
                    <c:v>2025-09-02 00:00:00</c:v>
                  </c:pt>
                  <c:pt idx="282">
                    <c:v>2025-09-03 00:00:00</c:v>
                  </c:pt>
                  <c:pt idx="283">
                    <c:v>2025-09-04 00:00:00</c:v>
                  </c:pt>
                  <c:pt idx="284">
                    <c:v>2025-09-06 00:00:00</c:v>
                  </c:pt>
                  <c:pt idx="285">
                    <c:v>2025-09-11 00:00:00</c:v>
                  </c:pt>
                  <c:pt idx="286">
                    <c:v>2025-09-15 00:00:00</c:v>
                  </c:pt>
                  <c:pt idx="287">
                    <c:v>2025-09-16 00:00:00</c:v>
                  </c:pt>
                  <c:pt idx="288">
                    <c:v>2025-09-17 00:00:00</c:v>
                  </c:pt>
                  <c:pt idx="289">
                    <c:v>2025-09-19 00:00:00</c:v>
                  </c:pt>
                  <c:pt idx="290">
                    <c:v>2025-09-24 00:00:00</c:v>
                  </c:pt>
                  <c:pt idx="291">
                    <c:v>2025-09-25 00:00:00</c:v>
                  </c:pt>
                  <c:pt idx="292">
                    <c:v>2025-09-27 00:00:00</c:v>
                  </c:pt>
                  <c:pt idx="293">
                    <c:v>2025-09-29 00:00:00</c:v>
                  </c:pt>
                  <c:pt idx="294">
                    <c:v>2025-09-30 00:00:00</c:v>
                  </c:pt>
                  <c:pt idx="295">
                    <c:v>2025-10-01 00:00:00</c:v>
                  </c:pt>
                  <c:pt idx="296">
                    <c:v>2025-10-02 00:00:00</c:v>
                  </c:pt>
                  <c:pt idx="297">
                    <c:v>2025-10-03 00:00:00</c:v>
                  </c:pt>
                  <c:pt idx="298">
                    <c:v>2025-10-04 00:00:00</c:v>
                  </c:pt>
                  <c:pt idx="299">
                    <c:v>2025-10-07 00:00:00</c:v>
                  </c:pt>
                  <c:pt idx="300">
                    <c:v>2025-10-08 00:00:00</c:v>
                  </c:pt>
                  <c:pt idx="301">
                    <c:v>2025-10-09 00:00:00</c:v>
                  </c:pt>
                  <c:pt idx="302">
                    <c:v>2025-10-10 00:00:00</c:v>
                  </c:pt>
                  <c:pt idx="303">
                    <c:v>2025-10-13 00:00:00</c:v>
                  </c:pt>
                  <c:pt idx="304">
                    <c:v>2025-10-15 00:00:00</c:v>
                  </c:pt>
                  <c:pt idx="305">
                    <c:v>2025-10-16 00:00:00</c:v>
                  </c:pt>
                  <c:pt idx="306">
                    <c:v>2025-10-17 00:00:00</c:v>
                  </c:pt>
                  <c:pt idx="307">
                    <c:v>2025-10-18 00:00:00</c:v>
                  </c:pt>
                  <c:pt idx="308">
                    <c:v>2025-10-20 00:00:00</c:v>
                  </c:pt>
                  <c:pt idx="309">
                    <c:v>2025-10-21 00:00:00</c:v>
                  </c:pt>
                  <c:pt idx="310">
                    <c:v>2025-10-23 00:00:00</c:v>
                  </c:pt>
                  <c:pt idx="311">
                    <c:v>2025-10-24 00:00:00</c:v>
                  </c:pt>
                  <c:pt idx="312">
                    <c:v>2025-10-25 00:00:00</c:v>
                  </c:pt>
                  <c:pt idx="313">
                    <c:v>2025-10-26 00:00:00</c:v>
                  </c:pt>
                  <c:pt idx="314">
                    <c:v>2025-10-31 00:00:00</c:v>
                  </c:pt>
                  <c:pt idx="315">
                    <c:v>2025-11-02 00:00:00</c:v>
                  </c:pt>
                  <c:pt idx="316">
                    <c:v>2025-11-03 00:00:00</c:v>
                  </c:pt>
                  <c:pt idx="317">
                    <c:v>2025-11-05 00:00:00</c:v>
                  </c:pt>
                  <c:pt idx="318">
                    <c:v>2025-11-07 00:00:00</c:v>
                  </c:pt>
                  <c:pt idx="319">
                    <c:v>2025-11-11 00:00:00</c:v>
                  </c:pt>
                  <c:pt idx="320">
                    <c:v>2025-11-12 00:00:00</c:v>
                  </c:pt>
                  <c:pt idx="321">
                    <c:v>2025-11-14 00:00:00</c:v>
                  </c:pt>
                  <c:pt idx="322">
                    <c:v>2025-11-15 00:00:00</c:v>
                  </c:pt>
                  <c:pt idx="323">
                    <c:v>2025-11-16 00:00:00</c:v>
                  </c:pt>
                  <c:pt idx="324">
                    <c:v>2025-11-17 00:00:00</c:v>
                  </c:pt>
                  <c:pt idx="325">
                    <c:v>2025-11-18 00:00:00</c:v>
                  </c:pt>
                  <c:pt idx="326">
                    <c:v>2025-11-20 00:00:00</c:v>
                  </c:pt>
                  <c:pt idx="327">
                    <c:v>2025-11-21 00:00:00</c:v>
                  </c:pt>
                  <c:pt idx="328">
                    <c:v>2025-11-22 00:00:00</c:v>
                  </c:pt>
                  <c:pt idx="329">
                    <c:v>2025-11-27 00:00:00</c:v>
                  </c:pt>
                  <c:pt idx="330">
                    <c:v>2025-11-28 00:00:00</c:v>
                  </c:pt>
                  <c:pt idx="331">
                    <c:v>2025-11-29 00:00:00</c:v>
                  </c:pt>
                  <c:pt idx="332">
                    <c:v>2025-11-30 00:00:00</c:v>
                  </c:pt>
                  <c:pt idx="333">
                    <c:v>2025-12-01 00:00:00</c:v>
                  </c:pt>
                  <c:pt idx="334">
                    <c:v>2025-12-02 00:00:00</c:v>
                  </c:pt>
                  <c:pt idx="335">
                    <c:v>2025-12-03 00:00:00</c:v>
                  </c:pt>
                  <c:pt idx="336">
                    <c:v>2025-12-04 00:00:00</c:v>
                  </c:pt>
                  <c:pt idx="337">
                    <c:v>2025-12-06 00:00:00</c:v>
                  </c:pt>
                  <c:pt idx="338">
                    <c:v>2025-12-10 00:00:00</c:v>
                  </c:pt>
                  <c:pt idx="339">
                    <c:v>2025-12-11 00:00:00</c:v>
                  </c:pt>
                  <c:pt idx="340">
                    <c:v>2025-12-20 00:00:00</c:v>
                  </c:pt>
                  <c:pt idx="341">
                    <c:v>2025-12-25 00:00:00</c:v>
                  </c:pt>
                  <c:pt idx="342">
                    <c:v>2025-12-26 00:00:00</c:v>
                  </c:pt>
                  <c:pt idx="343">
                    <c:v>2025-12-27 00:00:00</c:v>
                  </c:pt>
                  <c:pt idx="344">
                    <c:v>2025-12-28 00:00:00</c:v>
                  </c:pt>
                  <c:pt idx="345">
                    <c:v>2025-12-30 00:00:00</c:v>
                  </c:pt>
                </c:lvl>
                <c:lvl>
                  <c:pt idx="0">
                    <c:v>Jan</c:v>
                  </c:pt>
                  <c:pt idx="14">
                    <c:v>Feb</c:v>
                  </c:pt>
                  <c:pt idx="30">
                    <c:v>Mar</c:v>
                  </c:pt>
                  <c:pt idx="38">
                    <c:v>Apr</c:v>
                  </c:pt>
                  <c:pt idx="53">
                    <c:v>May</c:v>
                  </c:pt>
                  <c:pt idx="71">
                    <c:v>Jun</c:v>
                  </c:pt>
                  <c:pt idx="86">
                    <c:v>Jul</c:v>
                  </c:pt>
                  <c:pt idx="103">
                    <c:v>Aug</c:v>
                  </c:pt>
                  <c:pt idx="120">
                    <c:v>Sep</c:v>
                  </c:pt>
                  <c:pt idx="136">
                    <c:v>Oct</c:v>
                  </c:pt>
                  <c:pt idx="149">
                    <c:v>Nov</c:v>
                  </c:pt>
                  <c:pt idx="158">
                    <c:v>Dec</c:v>
                  </c:pt>
                  <c:pt idx="172">
                    <c:v>Jan</c:v>
                  </c:pt>
                  <c:pt idx="187">
                    <c:v>Feb</c:v>
                  </c:pt>
                  <c:pt idx="202">
                    <c:v>Mar</c:v>
                  </c:pt>
                  <c:pt idx="214">
                    <c:v>Apr</c:v>
                  </c:pt>
                  <c:pt idx="230">
                    <c:v>May</c:v>
                  </c:pt>
                  <c:pt idx="247">
                    <c:v>Jun</c:v>
                  </c:pt>
                  <c:pt idx="254">
                    <c:v>Jul</c:v>
                  </c:pt>
                  <c:pt idx="271">
                    <c:v>Aug</c:v>
                  </c:pt>
                  <c:pt idx="280">
                    <c:v>Sep</c:v>
                  </c:pt>
                  <c:pt idx="295">
                    <c:v>Oct</c:v>
                  </c:pt>
                  <c:pt idx="315">
                    <c:v>Nov</c:v>
                  </c:pt>
                  <c:pt idx="333">
                    <c:v>Dec</c:v>
                  </c:pt>
                </c:lvl>
                <c:lvl>
                  <c:pt idx="0">
                    <c:v>Qtr1</c:v>
                  </c:pt>
                  <c:pt idx="38">
                    <c:v>Qtr2</c:v>
                  </c:pt>
                  <c:pt idx="86">
                    <c:v>Qtr3</c:v>
                  </c:pt>
                  <c:pt idx="136">
                    <c:v>Qtr4</c:v>
                  </c:pt>
                  <c:pt idx="172">
                    <c:v>Qtr1</c:v>
                  </c:pt>
                  <c:pt idx="214">
                    <c:v>Qtr2</c:v>
                  </c:pt>
                  <c:pt idx="254">
                    <c:v>Qtr3</c:v>
                  </c:pt>
                  <c:pt idx="295">
                    <c:v>Qtr4</c:v>
                  </c:pt>
                </c:lvl>
                <c:lvl>
                  <c:pt idx="0">
                    <c:v>2024</c:v>
                  </c:pt>
                  <c:pt idx="172">
                    <c:v>2025</c:v>
                  </c:pt>
                </c:lvl>
              </c:multiLvlStrCache>
            </c:multiLvlStrRef>
          </c:cat>
          <c:val>
            <c:numRef>
              <c:f>Sheet6!$B$2:$B$382</c:f>
              <c:numCache>
                <c:formatCode>General</c:formatCode>
                <c:ptCount val="346"/>
                <c:pt idx="0">
                  <c:v>8.623881077410223</c:v>
                </c:pt>
                <c:pt idx="1">
                  <c:v>4.9393118453891933</c:v>
                </c:pt>
                <c:pt idx="2">
                  <c:v>9.1386554621848735</c:v>
                </c:pt>
                <c:pt idx="3">
                  <c:v>0.99857346647646217</c:v>
                </c:pt>
                <c:pt idx="4">
                  <c:v>3.4260305672155851</c:v>
                </c:pt>
                <c:pt idx="5">
                  <c:v>4.2089985486211905</c:v>
                </c:pt>
                <c:pt idx="6">
                  <c:v>3.2876712328767121</c:v>
                </c:pt>
                <c:pt idx="7">
                  <c:v>1.4251781472684086</c:v>
                </c:pt>
                <c:pt idx="8">
                  <c:v>1.2422360248447204</c:v>
                </c:pt>
                <c:pt idx="9">
                  <c:v>4.5729602702504222</c:v>
                </c:pt>
                <c:pt idx="10">
                  <c:v>4.6229182322852775</c:v>
                </c:pt>
                <c:pt idx="11">
                  <c:v>2.8419182948490231</c:v>
                </c:pt>
                <c:pt idx="12">
                  <c:v>6.149193548387097</c:v>
                </c:pt>
                <c:pt idx="13">
                  <c:v>5.750429619042758</c:v>
                </c:pt>
                <c:pt idx="14">
                  <c:v>4.2136641959394137</c:v>
                </c:pt>
                <c:pt idx="15">
                  <c:v>5.8577405857740583</c:v>
                </c:pt>
                <c:pt idx="16">
                  <c:v>5.0318904224173986</c:v>
                </c:pt>
                <c:pt idx="17">
                  <c:v>3.4312204873677317</c:v>
                </c:pt>
                <c:pt idx="18">
                  <c:v>3.6474164133738598</c:v>
                </c:pt>
                <c:pt idx="19">
                  <c:v>5.3527980535279802</c:v>
                </c:pt>
                <c:pt idx="20">
                  <c:v>2.552664901577069</c:v>
                </c:pt>
                <c:pt idx="21">
                  <c:v>3.1746031746031744</c:v>
                </c:pt>
                <c:pt idx="22">
                  <c:v>3.5176377328577093</c:v>
                </c:pt>
                <c:pt idx="23">
                  <c:v>6.1420345489443378</c:v>
                </c:pt>
                <c:pt idx="24">
                  <c:v>0.76086956521739135</c:v>
                </c:pt>
                <c:pt idx="25">
                  <c:v>8.1188118811881189</c:v>
                </c:pt>
                <c:pt idx="26">
                  <c:v>5.648761675806977</c:v>
                </c:pt>
                <c:pt idx="27">
                  <c:v>2.6671229350928911</c:v>
                </c:pt>
                <c:pt idx="28">
                  <c:v>3.8183492575112234</c:v>
                </c:pt>
                <c:pt idx="29">
                  <c:v>5.5762081784386615</c:v>
                </c:pt>
                <c:pt idx="30">
                  <c:v>2.8784648187633262</c:v>
                </c:pt>
                <c:pt idx="31">
                  <c:v>2.244668911335578</c:v>
                </c:pt>
                <c:pt idx="32">
                  <c:v>5.1282051282051277</c:v>
                </c:pt>
                <c:pt idx="33">
                  <c:v>1.7699115044247788</c:v>
                </c:pt>
                <c:pt idx="34">
                  <c:v>0.98870056497175152</c:v>
                </c:pt>
                <c:pt idx="35">
                  <c:v>7.7129012925039291</c:v>
                </c:pt>
                <c:pt idx="36">
                  <c:v>3.9309904780602727</c:v>
                </c:pt>
                <c:pt idx="37">
                  <c:v>2.5423728813559325</c:v>
                </c:pt>
                <c:pt idx="38">
                  <c:v>2.0179738562091503</c:v>
                </c:pt>
                <c:pt idx="39">
                  <c:v>5.8495821727019495</c:v>
                </c:pt>
                <c:pt idx="40">
                  <c:v>7.3667699576609191</c:v>
                </c:pt>
                <c:pt idx="41">
                  <c:v>4.8051417502894171</c:v>
                </c:pt>
                <c:pt idx="42">
                  <c:v>6.046007413005146</c:v>
                </c:pt>
                <c:pt idx="43">
                  <c:v>3.6115765954475636</c:v>
                </c:pt>
                <c:pt idx="44">
                  <c:v>6.7241483420695349</c:v>
                </c:pt>
                <c:pt idx="45">
                  <c:v>5.2685946178598515</c:v>
                </c:pt>
                <c:pt idx="46">
                  <c:v>2.1812080536912752</c:v>
                </c:pt>
                <c:pt idx="47">
                  <c:v>6.7289719626168223</c:v>
                </c:pt>
                <c:pt idx="48">
                  <c:v>5.659680582828245</c:v>
                </c:pt>
                <c:pt idx="49">
                  <c:v>0.93896713615023475</c:v>
                </c:pt>
                <c:pt idx="50">
                  <c:v>5.9016393442622954</c:v>
                </c:pt>
                <c:pt idx="51">
                  <c:v>2.2222222222222223</c:v>
                </c:pt>
                <c:pt idx="52">
                  <c:v>7.6009237085186454</c:v>
                </c:pt>
                <c:pt idx="53">
                  <c:v>8.0291970802919703</c:v>
                </c:pt>
                <c:pt idx="54">
                  <c:v>3.6827195467422094</c:v>
                </c:pt>
                <c:pt idx="55">
                  <c:v>7.8804347826086962</c:v>
                </c:pt>
                <c:pt idx="56">
                  <c:v>1.6666666666666667</c:v>
                </c:pt>
                <c:pt idx="57">
                  <c:v>2.9187817258883251</c:v>
                </c:pt>
                <c:pt idx="58">
                  <c:v>10.160427807486631</c:v>
                </c:pt>
                <c:pt idx="59">
                  <c:v>1.5172413793103448</c:v>
                </c:pt>
                <c:pt idx="60">
                  <c:v>5.9633027522935782</c:v>
                </c:pt>
                <c:pt idx="61">
                  <c:v>3.3595574709588676</c:v>
                </c:pt>
                <c:pt idx="62">
                  <c:v>2.126839444028751</c:v>
                </c:pt>
                <c:pt idx="63">
                  <c:v>2.5301204819277108</c:v>
                </c:pt>
                <c:pt idx="64">
                  <c:v>5.1282051282051277</c:v>
                </c:pt>
                <c:pt idx="65">
                  <c:v>3.6318901840228852</c:v>
                </c:pt>
                <c:pt idx="66">
                  <c:v>4.2758620689655169</c:v>
                </c:pt>
                <c:pt idx="67">
                  <c:v>5.1679586563307494</c:v>
                </c:pt>
                <c:pt idx="68">
                  <c:v>3.2667876588021776</c:v>
                </c:pt>
                <c:pt idx="69">
                  <c:v>0.95948827292110883</c:v>
                </c:pt>
                <c:pt idx="70">
                  <c:v>3.7227214377406934</c:v>
                </c:pt>
                <c:pt idx="71">
                  <c:v>8.7349397590361448</c:v>
                </c:pt>
                <c:pt idx="72">
                  <c:v>2.1194605009633909</c:v>
                </c:pt>
                <c:pt idx="73">
                  <c:v>3.0364372469635628</c:v>
                </c:pt>
                <c:pt idx="74">
                  <c:v>1.214574898785425</c:v>
                </c:pt>
                <c:pt idx="75">
                  <c:v>1.6326530612244898</c:v>
                </c:pt>
                <c:pt idx="76">
                  <c:v>2.5965821886100504</c:v>
                </c:pt>
                <c:pt idx="77">
                  <c:v>4.2730795949890199</c:v>
                </c:pt>
                <c:pt idx="78">
                  <c:v>5.3872053872053867</c:v>
                </c:pt>
                <c:pt idx="79">
                  <c:v>7.8291814946619214</c:v>
                </c:pt>
                <c:pt idx="80">
                  <c:v>5.2132701421800949</c:v>
                </c:pt>
                <c:pt idx="81">
                  <c:v>9.0468497576736659</c:v>
                </c:pt>
                <c:pt idx="82">
                  <c:v>8.3056478405315612</c:v>
                </c:pt>
                <c:pt idx="83">
                  <c:v>3.3244680851063828</c:v>
                </c:pt>
                <c:pt idx="84">
                  <c:v>7.2837632776934749</c:v>
                </c:pt>
                <c:pt idx="85">
                  <c:v>6.7698259187620886</c:v>
                </c:pt>
                <c:pt idx="86">
                  <c:v>4.5325779036827196</c:v>
                </c:pt>
                <c:pt idx="87">
                  <c:v>10</c:v>
                </c:pt>
                <c:pt idx="88">
                  <c:v>4.1666666666666661</c:v>
                </c:pt>
                <c:pt idx="89">
                  <c:v>4.0752351097178678</c:v>
                </c:pt>
                <c:pt idx="90">
                  <c:v>5.4348673147122755</c:v>
                </c:pt>
                <c:pt idx="91">
                  <c:v>5.244755244755245</c:v>
                </c:pt>
                <c:pt idx="92">
                  <c:v>4.839575409274735</c:v>
                </c:pt>
                <c:pt idx="93">
                  <c:v>0.99557522123893805</c:v>
                </c:pt>
                <c:pt idx="94">
                  <c:v>4.5054945054945055</c:v>
                </c:pt>
                <c:pt idx="95">
                  <c:v>3.5864978902953584</c:v>
                </c:pt>
                <c:pt idx="96">
                  <c:v>3.9785005310771706</c:v>
                </c:pt>
                <c:pt idx="97">
                  <c:v>6.624605678233439</c:v>
                </c:pt>
                <c:pt idx="98">
                  <c:v>3.7537537537537538</c:v>
                </c:pt>
                <c:pt idx="99">
                  <c:v>3.5019455252918288</c:v>
                </c:pt>
                <c:pt idx="100">
                  <c:v>8.1753554502369674</c:v>
                </c:pt>
                <c:pt idx="101">
                  <c:v>5.973025048169557</c:v>
                </c:pt>
                <c:pt idx="102">
                  <c:v>5.7367829021372332</c:v>
                </c:pt>
                <c:pt idx="103">
                  <c:v>5.1829268292682924</c:v>
                </c:pt>
                <c:pt idx="104">
                  <c:v>1.2278308321964531</c:v>
                </c:pt>
                <c:pt idx="105">
                  <c:v>3.4095136207527963</c:v>
                </c:pt>
                <c:pt idx="106">
                  <c:v>3.5345155449205024</c:v>
                </c:pt>
                <c:pt idx="107">
                  <c:v>1.5240328253223916</c:v>
                </c:pt>
                <c:pt idx="108">
                  <c:v>3.8841405508072171</c:v>
                </c:pt>
                <c:pt idx="109">
                  <c:v>5.4992764109985526</c:v>
                </c:pt>
                <c:pt idx="110">
                  <c:v>6.1181434599156121</c:v>
                </c:pt>
                <c:pt idx="111">
                  <c:v>1.3727560718057021</c:v>
                </c:pt>
                <c:pt idx="112">
                  <c:v>3.9863933781625356</c:v>
                </c:pt>
                <c:pt idx="113">
                  <c:v>3.5607611040433653</c:v>
                </c:pt>
                <c:pt idx="114">
                  <c:v>2.7283511269276395</c:v>
                </c:pt>
                <c:pt idx="115">
                  <c:v>4.3156596794081379</c:v>
                </c:pt>
                <c:pt idx="116">
                  <c:v>3.7037037037037033</c:v>
                </c:pt>
                <c:pt idx="117">
                  <c:v>4.4420368364030338</c:v>
                </c:pt>
                <c:pt idx="118">
                  <c:v>4.4715447154471546</c:v>
                </c:pt>
                <c:pt idx="119">
                  <c:v>4.3628013777267505</c:v>
                </c:pt>
                <c:pt idx="120">
                  <c:v>2.4875621890547266</c:v>
                </c:pt>
                <c:pt idx="121">
                  <c:v>5.4646549593475058</c:v>
                </c:pt>
                <c:pt idx="122">
                  <c:v>2.4752475247524752</c:v>
                </c:pt>
                <c:pt idx="123">
                  <c:v>2.9573367808661928</c:v>
                </c:pt>
                <c:pt idx="124">
                  <c:v>4.8058132585547977</c:v>
                </c:pt>
                <c:pt idx="125">
                  <c:v>5.5118110236220472</c:v>
                </c:pt>
                <c:pt idx="126">
                  <c:v>5.3012048192771086</c:v>
                </c:pt>
                <c:pt idx="127">
                  <c:v>4.2402826855123674</c:v>
                </c:pt>
                <c:pt idx="128">
                  <c:v>5.1971326164874547</c:v>
                </c:pt>
                <c:pt idx="129">
                  <c:v>7.5418994413407825</c:v>
                </c:pt>
                <c:pt idx="130">
                  <c:v>6.1579651941097726</c:v>
                </c:pt>
                <c:pt idx="131">
                  <c:v>4.4057377049180326</c:v>
                </c:pt>
                <c:pt idx="132">
                  <c:v>4.9315068493150687</c:v>
                </c:pt>
                <c:pt idx="133">
                  <c:v>6.2361416011208064</c:v>
                </c:pt>
                <c:pt idx="134">
                  <c:v>4.9275362318840585</c:v>
                </c:pt>
                <c:pt idx="135">
                  <c:v>4.4883303411131061</c:v>
                </c:pt>
                <c:pt idx="136">
                  <c:v>4.5910427528754783</c:v>
                </c:pt>
                <c:pt idx="137">
                  <c:v>3.3315295815295816</c:v>
                </c:pt>
                <c:pt idx="138">
                  <c:v>4.9228795510877541</c:v>
                </c:pt>
                <c:pt idx="139">
                  <c:v>4.0201005025125625</c:v>
                </c:pt>
                <c:pt idx="140">
                  <c:v>1.7021276595744681</c:v>
                </c:pt>
                <c:pt idx="141">
                  <c:v>4.7297297297297298</c:v>
                </c:pt>
                <c:pt idx="142">
                  <c:v>4.865174184555964</c:v>
                </c:pt>
                <c:pt idx="143">
                  <c:v>3.3128834355828225</c:v>
                </c:pt>
                <c:pt idx="144">
                  <c:v>4.0816326530612246</c:v>
                </c:pt>
                <c:pt idx="145">
                  <c:v>4.5045045045045047</c:v>
                </c:pt>
                <c:pt idx="146">
                  <c:v>7.9781420765027322</c:v>
                </c:pt>
                <c:pt idx="147">
                  <c:v>4.6632124352331603</c:v>
                </c:pt>
                <c:pt idx="148">
                  <c:v>2.0330368487928845</c:v>
                </c:pt>
                <c:pt idx="149">
                  <c:v>7.9229122055674521</c:v>
                </c:pt>
                <c:pt idx="150">
                  <c:v>5.6207079468394721</c:v>
                </c:pt>
                <c:pt idx="151">
                  <c:v>3.007518796992481</c:v>
                </c:pt>
                <c:pt idx="152">
                  <c:v>1.3761467889908259</c:v>
                </c:pt>
                <c:pt idx="153">
                  <c:v>5.2109181141439205</c:v>
                </c:pt>
                <c:pt idx="154">
                  <c:v>4.0306687847671459</c:v>
                </c:pt>
                <c:pt idx="155">
                  <c:v>5.7142857142857144</c:v>
                </c:pt>
                <c:pt idx="156">
                  <c:v>1.2195121951219512</c:v>
                </c:pt>
                <c:pt idx="157">
                  <c:v>6.3677161916559211</c:v>
                </c:pt>
                <c:pt idx="158">
                  <c:v>6.1573546180159635</c:v>
                </c:pt>
                <c:pt idx="159">
                  <c:v>2.7948391126411241</c:v>
                </c:pt>
                <c:pt idx="160">
                  <c:v>5.0653852213644246</c:v>
                </c:pt>
                <c:pt idx="161">
                  <c:v>4.7337278106508878</c:v>
                </c:pt>
                <c:pt idx="162">
                  <c:v>8.1395348837209305</c:v>
                </c:pt>
                <c:pt idx="163">
                  <c:v>2.8766057328009591</c:v>
                </c:pt>
                <c:pt idx="164">
                  <c:v>5.1476770848131181</c:v>
                </c:pt>
                <c:pt idx="165">
                  <c:v>7.0000000000000009</c:v>
                </c:pt>
                <c:pt idx="166">
                  <c:v>1.9443687811443495</c:v>
                </c:pt>
                <c:pt idx="167">
                  <c:v>3.4825870646766171</c:v>
                </c:pt>
                <c:pt idx="168">
                  <c:v>3.6284470246734397</c:v>
                </c:pt>
                <c:pt idx="169">
                  <c:v>9.8914354644149576</c:v>
                </c:pt>
                <c:pt idx="170">
                  <c:v>2.033271719038817</c:v>
                </c:pt>
                <c:pt idx="171">
                  <c:v>4.1832669322709162</c:v>
                </c:pt>
                <c:pt idx="172">
                  <c:v>5.3030303030303028</c:v>
                </c:pt>
                <c:pt idx="173">
                  <c:v>3.0816640986132513</c:v>
                </c:pt>
                <c:pt idx="174">
                  <c:v>3.5194755691085735</c:v>
                </c:pt>
                <c:pt idx="175">
                  <c:v>8.2962962962962958</c:v>
                </c:pt>
                <c:pt idx="176">
                  <c:v>3.0201342281879198</c:v>
                </c:pt>
                <c:pt idx="177">
                  <c:v>1.5592515592515594</c:v>
                </c:pt>
                <c:pt idx="178">
                  <c:v>7.670850767085077</c:v>
                </c:pt>
                <c:pt idx="179">
                  <c:v>2.4737916050524995</c:v>
                </c:pt>
                <c:pt idx="180">
                  <c:v>2.4742728681737578</c:v>
                </c:pt>
                <c:pt idx="181">
                  <c:v>3.2755020336719682</c:v>
                </c:pt>
                <c:pt idx="182">
                  <c:v>5.0615595075239401</c:v>
                </c:pt>
                <c:pt idx="183">
                  <c:v>4.9661835748792269</c:v>
                </c:pt>
                <c:pt idx="184">
                  <c:v>2.5751072961373391</c:v>
                </c:pt>
                <c:pt idx="185">
                  <c:v>4.8092065238590092</c:v>
                </c:pt>
                <c:pt idx="186">
                  <c:v>3.9048412708576254</c:v>
                </c:pt>
                <c:pt idx="187">
                  <c:v>5.2736365611867946</c:v>
                </c:pt>
                <c:pt idx="188">
                  <c:v>3.4188034188034191</c:v>
                </c:pt>
                <c:pt idx="189">
                  <c:v>7.5535304141661106</c:v>
                </c:pt>
                <c:pt idx="190">
                  <c:v>4.5816733067729087</c:v>
                </c:pt>
                <c:pt idx="191">
                  <c:v>6.7203311283503258</c:v>
                </c:pt>
                <c:pt idx="192">
                  <c:v>4.3887147335423196</c:v>
                </c:pt>
                <c:pt idx="193">
                  <c:v>7.8465268296179955</c:v>
                </c:pt>
                <c:pt idx="194">
                  <c:v>2.1999999999999997</c:v>
                </c:pt>
                <c:pt idx="195">
                  <c:v>1.9342359767891684</c:v>
                </c:pt>
                <c:pt idx="196">
                  <c:v>8.7847730600292824</c:v>
                </c:pt>
                <c:pt idx="197">
                  <c:v>5.7017543859649118</c:v>
                </c:pt>
                <c:pt idx="198">
                  <c:v>7.042253521126761</c:v>
                </c:pt>
                <c:pt idx="199">
                  <c:v>5.1502145922746783</c:v>
                </c:pt>
                <c:pt idx="200">
                  <c:v>2.1359223300970873</c:v>
                </c:pt>
                <c:pt idx="201">
                  <c:v>1.6414141414141417</c:v>
                </c:pt>
                <c:pt idx="202">
                  <c:v>3.6217303822937628</c:v>
                </c:pt>
                <c:pt idx="203">
                  <c:v>6.2717770034843205</c:v>
                </c:pt>
                <c:pt idx="204">
                  <c:v>0.94537815126050417</c:v>
                </c:pt>
                <c:pt idx="205">
                  <c:v>6.403940886699508</c:v>
                </c:pt>
                <c:pt idx="206">
                  <c:v>4.6742209631728047</c:v>
                </c:pt>
                <c:pt idx="207">
                  <c:v>2.8688524590163933</c:v>
                </c:pt>
                <c:pt idx="208">
                  <c:v>5.0480380258899675</c:v>
                </c:pt>
                <c:pt idx="209">
                  <c:v>7.3643410852713185</c:v>
                </c:pt>
                <c:pt idx="210">
                  <c:v>1.1627906976744187</c:v>
                </c:pt>
                <c:pt idx="211">
                  <c:v>4.0607602908302303</c:v>
                </c:pt>
                <c:pt idx="212">
                  <c:v>4.703476482617587</c:v>
                </c:pt>
                <c:pt idx="213">
                  <c:v>5.4573365927478026</c:v>
                </c:pt>
                <c:pt idx="214">
                  <c:v>4.0677966101694913</c:v>
                </c:pt>
                <c:pt idx="215">
                  <c:v>6.9323785184240272</c:v>
                </c:pt>
                <c:pt idx="216">
                  <c:v>6.7474048442906582</c:v>
                </c:pt>
                <c:pt idx="217">
                  <c:v>2.7028985507246377</c:v>
                </c:pt>
                <c:pt idx="218">
                  <c:v>2.3333333333333335</c:v>
                </c:pt>
                <c:pt idx="219">
                  <c:v>7.9831932773109235</c:v>
                </c:pt>
                <c:pt idx="220">
                  <c:v>5.4054054054054053</c:v>
                </c:pt>
                <c:pt idx="221">
                  <c:v>1.3698630136986301</c:v>
                </c:pt>
                <c:pt idx="222">
                  <c:v>3.393092105263158</c:v>
                </c:pt>
                <c:pt idx="223">
                  <c:v>5.5286317800160552</c:v>
                </c:pt>
                <c:pt idx="224">
                  <c:v>4.2820024745407821</c:v>
                </c:pt>
                <c:pt idx="225">
                  <c:v>5.3929962755254932</c:v>
                </c:pt>
                <c:pt idx="226">
                  <c:v>3.9906103286384975</c:v>
                </c:pt>
                <c:pt idx="227">
                  <c:v>3.8419285969641344</c:v>
                </c:pt>
                <c:pt idx="228">
                  <c:v>9.4170403587443943</c:v>
                </c:pt>
                <c:pt idx="229">
                  <c:v>3.7883435582822087</c:v>
                </c:pt>
                <c:pt idx="230">
                  <c:v>3.4552845528455287</c:v>
                </c:pt>
                <c:pt idx="231">
                  <c:v>5.8614564831261102</c:v>
                </c:pt>
                <c:pt idx="232">
                  <c:v>3.7537190661206203</c:v>
                </c:pt>
                <c:pt idx="233">
                  <c:v>3.5294117647058822</c:v>
                </c:pt>
                <c:pt idx="234">
                  <c:v>7.0493454179254789</c:v>
                </c:pt>
                <c:pt idx="235">
                  <c:v>4.073040671840185</c:v>
                </c:pt>
                <c:pt idx="236">
                  <c:v>2.1186440677966099</c:v>
                </c:pt>
                <c:pt idx="237">
                  <c:v>8.1410256410256405</c:v>
                </c:pt>
                <c:pt idx="238">
                  <c:v>8.3857442348008391</c:v>
                </c:pt>
                <c:pt idx="239">
                  <c:v>5.7347670250896057</c:v>
                </c:pt>
                <c:pt idx="240">
                  <c:v>4.6506002099593777</c:v>
                </c:pt>
                <c:pt idx="241">
                  <c:v>3.2894736842105261</c:v>
                </c:pt>
                <c:pt idx="242">
                  <c:v>2.3408089707649178</c:v>
                </c:pt>
                <c:pt idx="243">
                  <c:v>5.6410005391034383</c:v>
                </c:pt>
                <c:pt idx="244">
                  <c:v>4.8588089678316688</c:v>
                </c:pt>
                <c:pt idx="245">
                  <c:v>3.595890410958904</c:v>
                </c:pt>
                <c:pt idx="246">
                  <c:v>6.7017917530781155</c:v>
                </c:pt>
                <c:pt idx="247">
                  <c:v>2.8571428571428572</c:v>
                </c:pt>
                <c:pt idx="248">
                  <c:v>3.0270270270270272</c:v>
                </c:pt>
                <c:pt idx="249">
                  <c:v>3.8869257950530036</c:v>
                </c:pt>
                <c:pt idx="250">
                  <c:v>3.0021282055152216</c:v>
                </c:pt>
                <c:pt idx="251">
                  <c:v>4.9382716049382713</c:v>
                </c:pt>
                <c:pt idx="252">
                  <c:v>4.4262295081967213</c:v>
                </c:pt>
                <c:pt idx="253">
                  <c:v>4.3452607537114574</c:v>
                </c:pt>
                <c:pt idx="254">
                  <c:v>4.0143045029038511</c:v>
                </c:pt>
                <c:pt idx="255">
                  <c:v>5.4162487462387157</c:v>
                </c:pt>
                <c:pt idx="256">
                  <c:v>1.5719585023337341</c:v>
                </c:pt>
                <c:pt idx="257">
                  <c:v>2.4032042723631508</c:v>
                </c:pt>
                <c:pt idx="258">
                  <c:v>4.3327556325823222</c:v>
                </c:pt>
                <c:pt idx="259">
                  <c:v>4.2553191489361701</c:v>
                </c:pt>
                <c:pt idx="260">
                  <c:v>2.0348837209302326</c:v>
                </c:pt>
                <c:pt idx="261">
                  <c:v>3.8241137472315909</c:v>
                </c:pt>
                <c:pt idx="262">
                  <c:v>2.3791397030833652</c:v>
                </c:pt>
                <c:pt idx="263">
                  <c:v>6.1538461538461542</c:v>
                </c:pt>
                <c:pt idx="264">
                  <c:v>3.1101154655656948</c:v>
                </c:pt>
                <c:pt idx="265">
                  <c:v>5.3797468354430382</c:v>
                </c:pt>
                <c:pt idx="266">
                  <c:v>3.9164320717339174</c:v>
                </c:pt>
                <c:pt idx="267">
                  <c:v>4.4350308930911817</c:v>
                </c:pt>
                <c:pt idx="268">
                  <c:v>5.4738508825036094</c:v>
                </c:pt>
                <c:pt idx="269">
                  <c:v>4.0556098620614751</c:v>
                </c:pt>
                <c:pt idx="270">
                  <c:v>6.313645621181263</c:v>
                </c:pt>
                <c:pt idx="271">
                  <c:v>4.7872340425531918</c:v>
                </c:pt>
                <c:pt idx="272">
                  <c:v>2.1077283372365341</c:v>
                </c:pt>
                <c:pt idx="273">
                  <c:v>2.7863777089783279</c:v>
                </c:pt>
                <c:pt idx="274">
                  <c:v>7.608695652173914</c:v>
                </c:pt>
                <c:pt idx="275">
                  <c:v>3.1954577409122864</c:v>
                </c:pt>
                <c:pt idx="276">
                  <c:v>2.9540481400437639</c:v>
                </c:pt>
                <c:pt idx="277">
                  <c:v>1.8900343642611683</c:v>
                </c:pt>
                <c:pt idx="278">
                  <c:v>4.1834142973392847</c:v>
                </c:pt>
                <c:pt idx="279">
                  <c:v>6.9529617346029031</c:v>
                </c:pt>
                <c:pt idx="280">
                  <c:v>2.9968454258675079</c:v>
                </c:pt>
                <c:pt idx="281">
                  <c:v>9.0813093980992612</c:v>
                </c:pt>
                <c:pt idx="282">
                  <c:v>5.5118110236220472</c:v>
                </c:pt>
                <c:pt idx="283">
                  <c:v>5.6918549813774986</c:v>
                </c:pt>
                <c:pt idx="284">
                  <c:v>5.3164556962025316</c:v>
                </c:pt>
                <c:pt idx="285">
                  <c:v>6.7301820649100987</c:v>
                </c:pt>
                <c:pt idx="286">
                  <c:v>0.81300813008130091</c:v>
                </c:pt>
                <c:pt idx="287">
                  <c:v>5.0722222222222229</c:v>
                </c:pt>
                <c:pt idx="288">
                  <c:v>5.6798623063683307</c:v>
                </c:pt>
                <c:pt idx="289">
                  <c:v>2.3443390299070117</c:v>
                </c:pt>
                <c:pt idx="290">
                  <c:v>5.5851063829787231</c:v>
                </c:pt>
                <c:pt idx="291">
                  <c:v>2.9787234042553195</c:v>
                </c:pt>
                <c:pt idx="292">
                  <c:v>1.1331444759206799</c:v>
                </c:pt>
                <c:pt idx="293">
                  <c:v>3.7283284195325725</c:v>
                </c:pt>
                <c:pt idx="294">
                  <c:v>6.0489060489060487</c:v>
                </c:pt>
                <c:pt idx="295">
                  <c:v>3.8527524081079441</c:v>
                </c:pt>
                <c:pt idx="296">
                  <c:v>5.2310355036323468</c:v>
                </c:pt>
                <c:pt idx="297">
                  <c:v>8.1123244929797202</c:v>
                </c:pt>
                <c:pt idx="298">
                  <c:v>4.2452830188679247</c:v>
                </c:pt>
                <c:pt idx="299">
                  <c:v>1.4705882352941175</c:v>
                </c:pt>
                <c:pt idx="300">
                  <c:v>3.8620689655172415</c:v>
                </c:pt>
                <c:pt idx="301">
                  <c:v>6.9306930693069315</c:v>
                </c:pt>
                <c:pt idx="302">
                  <c:v>4.2993630573248405</c:v>
                </c:pt>
                <c:pt idx="303">
                  <c:v>2.5882352941176472</c:v>
                </c:pt>
                <c:pt idx="304">
                  <c:v>1.3133208255159476</c:v>
                </c:pt>
                <c:pt idx="305">
                  <c:v>5.0691244239631335</c:v>
                </c:pt>
                <c:pt idx="306">
                  <c:v>5.0473356929934052</c:v>
                </c:pt>
                <c:pt idx="307">
                  <c:v>1.3636363636363635</c:v>
                </c:pt>
                <c:pt idx="308">
                  <c:v>3.1616304173113372</c:v>
                </c:pt>
                <c:pt idx="309">
                  <c:v>3.7604456824512535</c:v>
                </c:pt>
                <c:pt idx="310">
                  <c:v>4.3636363636363642</c:v>
                </c:pt>
                <c:pt idx="311">
                  <c:v>6.0133630289532292</c:v>
                </c:pt>
                <c:pt idx="312">
                  <c:v>4.7798341998465688</c:v>
                </c:pt>
                <c:pt idx="313">
                  <c:v>4.4386422976501301</c:v>
                </c:pt>
                <c:pt idx="314">
                  <c:v>4.5184135100502045</c:v>
                </c:pt>
                <c:pt idx="315">
                  <c:v>3.644011327669499</c:v>
                </c:pt>
                <c:pt idx="316">
                  <c:v>0.94161958568738224</c:v>
                </c:pt>
                <c:pt idx="317">
                  <c:v>1.8969108717812349</c:v>
                </c:pt>
                <c:pt idx="318">
                  <c:v>4.5454545454545459</c:v>
                </c:pt>
                <c:pt idx="319">
                  <c:v>3.2653061224489797</c:v>
                </c:pt>
                <c:pt idx="320">
                  <c:v>3.1591273568802585</c:v>
                </c:pt>
                <c:pt idx="321">
                  <c:v>2.4298028108074123</c:v>
                </c:pt>
                <c:pt idx="322">
                  <c:v>2.5280898876404492</c:v>
                </c:pt>
                <c:pt idx="323">
                  <c:v>6.1359867330016584</c:v>
                </c:pt>
                <c:pt idx="324">
                  <c:v>7.1297989031078606</c:v>
                </c:pt>
                <c:pt idx="325">
                  <c:v>3.0172413793103448</c:v>
                </c:pt>
                <c:pt idx="326">
                  <c:v>8.6283185840707954</c:v>
                </c:pt>
                <c:pt idx="327">
                  <c:v>6.625</c:v>
                </c:pt>
                <c:pt idx="328">
                  <c:v>5.3177966101694913</c:v>
                </c:pt>
                <c:pt idx="329">
                  <c:v>8.4993359893758296</c:v>
                </c:pt>
                <c:pt idx="330">
                  <c:v>3.5087719298245612</c:v>
                </c:pt>
                <c:pt idx="331">
                  <c:v>5.1178641585808684</c:v>
                </c:pt>
                <c:pt idx="332">
                  <c:v>1.1886826907713026</c:v>
                </c:pt>
                <c:pt idx="333">
                  <c:v>3.8062283737024223</c:v>
                </c:pt>
                <c:pt idx="334">
                  <c:v>1.2903225806451613</c:v>
                </c:pt>
                <c:pt idx="335">
                  <c:v>2.9106029106029108</c:v>
                </c:pt>
                <c:pt idx="336">
                  <c:v>6.8914956011730197</c:v>
                </c:pt>
                <c:pt idx="337">
                  <c:v>3.2028469750889679</c:v>
                </c:pt>
                <c:pt idx="338">
                  <c:v>3.9443609022556387</c:v>
                </c:pt>
                <c:pt idx="339">
                  <c:v>3.7837837837837842</c:v>
                </c:pt>
                <c:pt idx="340">
                  <c:v>3.3337194852244245</c:v>
                </c:pt>
                <c:pt idx="341">
                  <c:v>5.5456171735241506</c:v>
                </c:pt>
                <c:pt idx="342">
                  <c:v>1.5414258188824663</c:v>
                </c:pt>
                <c:pt idx="343">
                  <c:v>4.2868988391376446</c:v>
                </c:pt>
                <c:pt idx="344">
                  <c:v>2.014218009478673</c:v>
                </c:pt>
                <c:pt idx="345">
                  <c:v>6.3045027731126382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6-4CF5-AE9D-E098109E3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054736"/>
        <c:axId val="369053296"/>
      </c:barChart>
      <c:catAx>
        <c:axId val="36905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53296"/>
        <c:crosses val="autoZero"/>
        <c:auto val="1"/>
        <c:lblAlgn val="ctr"/>
        <c:lblOffset val="100"/>
        <c:noMultiLvlLbl val="0"/>
      </c:catAx>
      <c:valAx>
        <c:axId val="36905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5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591582</xdr:colOff>
      <xdr:row>61</xdr:row>
      <xdr:rowOff>75981</xdr:rowOff>
    </xdr:from>
    <xdr:to>
      <xdr:col>13</xdr:col>
      <xdr:colOff>255086</xdr:colOff>
      <xdr:row>70</xdr:row>
      <xdr:rowOff>92265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B116EA-58F3-E18A-951D-D699B6019D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841" t="8633" r="5933" b="7812"/>
        <a:stretch/>
      </xdr:blipFill>
      <xdr:spPr>
        <a:xfrm>
          <a:off x="9123377" y="11332306"/>
          <a:ext cx="3001324" cy="1677053"/>
        </a:xfrm>
        <a:prstGeom prst="rect">
          <a:avLst/>
        </a:prstGeom>
      </xdr:spPr>
    </xdr:pic>
    <xdr:clientData/>
  </xdr:twoCellAnchor>
  <xdr:twoCellAnchor editAs="oneCell">
    <xdr:from>
      <xdr:col>8</xdr:col>
      <xdr:colOff>603251</xdr:colOff>
      <xdr:row>76</xdr:row>
      <xdr:rowOff>47625</xdr:rowOff>
    </xdr:from>
    <xdr:to>
      <xdr:col>20</xdr:col>
      <xdr:colOff>290887</xdr:colOff>
      <xdr:row>101</xdr:row>
      <xdr:rowOff>89166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70C6D1-5E7E-0007-FA0E-C2FFFBBA1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1" y="13922375"/>
          <a:ext cx="7315574" cy="46056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5</xdr:row>
      <xdr:rowOff>180975</xdr:rowOff>
    </xdr:from>
    <xdr:to>
      <xdr:col>13</xdr:col>
      <xdr:colOff>231775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B13F0-6B5E-F78E-8A3F-B58E988C1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182966</xdr:colOff>
      <xdr:row>0</xdr:row>
      <xdr:rowOff>150677</xdr:rowOff>
    </xdr:from>
    <xdr:to>
      <xdr:col>11</xdr:col>
      <xdr:colOff>487766</xdr:colOff>
      <xdr:row>15</xdr:row>
      <xdr:rowOff>132811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11874-E280-8026-EE4B-9BE05EAA3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163</xdr:colOff>
      <xdr:row>1</xdr:row>
      <xdr:rowOff>370</xdr:rowOff>
    </xdr:from>
    <xdr:to>
      <xdr:col>29</xdr:col>
      <xdr:colOff>183445</xdr:colOff>
      <xdr:row>56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5E7C1-764D-5E7C-F266-50968EFE4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ththini V" refreshedDate="46039.730427893519" createdVersion="8" refreshedVersion="8" minRefreshableVersion="3" recordCount="500" xr:uid="{4C8CBEEC-76C7-4B22-AC74-80FB1CC7AA32}">
  <cacheSource type="worksheet">
    <worksheetSource name="Table1"/>
  </cacheSource>
  <cacheFields count="10">
    <cacheField name="Production Date" numFmtId="164">
      <sharedItems containsSemiMixedTypes="0" containsNonDate="0" containsDate="1" containsString="0" minDate="2024-01-02T00:00:00" maxDate="2025-12-31T00:00:00" count="346">
        <d v="2024-04-12T00:00:00"/>
        <d v="2025-03-11T00:00:00"/>
        <d v="2024-09-27T00:00:00"/>
        <d v="2024-04-16T00:00:00"/>
        <d v="2024-03-12T00:00:00"/>
        <d v="2025-12-01T00:00:00"/>
        <d v="2024-01-21T00:00:00"/>
        <d v="2025-09-06T00:00:00"/>
        <d v="2024-05-01T00:00:00"/>
        <d v="2025-04-11T00:00:00"/>
        <d v="2024-08-02T00:00:00"/>
        <d v="2024-11-26T00:00:00"/>
        <d v="2025-04-03T00:00:00"/>
        <d v="2024-03-28T00:00:00"/>
        <d v="2025-01-07T00:00:00"/>
        <d v="2024-04-09T00:00:00"/>
        <d v="2025-10-25T00:00:00"/>
        <d v="2024-05-10T00:00:00"/>
        <d v="2025-10-23T00:00:00"/>
        <d v="2024-11-04T00:00:00"/>
        <d v="2024-12-09T00:00:00"/>
        <d v="2025-05-06T00:00:00"/>
        <d v="2025-02-17T00:00:00"/>
        <d v="2025-01-20T00:00:00"/>
        <d v="2024-07-10T00:00:00"/>
        <d v="2024-10-03T00:00:00"/>
        <d v="2024-06-09T00:00:00"/>
        <d v="2025-04-04T00:00:00"/>
        <d v="2024-11-09T00:00:00"/>
        <d v="2024-01-22T00:00:00"/>
        <d v="2024-09-09T00:00:00"/>
        <d v="2025-07-14T00:00:00"/>
        <d v="2025-04-19T00:00:00"/>
        <d v="2024-02-28T00:00:00"/>
        <d v="2025-05-25T00:00:00"/>
        <d v="2025-11-12T00:00:00"/>
        <d v="2025-04-20T00:00:00"/>
        <d v="2025-11-30T00:00:00"/>
        <d v="2024-07-08T00:00:00"/>
        <d v="2025-11-17T00:00:00"/>
        <d v="2025-07-16T00:00:00"/>
        <d v="2025-07-20T00:00:00"/>
        <d v="2024-08-31T00:00:00"/>
        <d v="2025-05-19T00:00:00"/>
        <d v="2025-04-29T00:00:00"/>
        <d v="2025-10-08T00:00:00"/>
        <d v="2024-06-15T00:00:00"/>
        <d v="2024-09-30T00:00:00"/>
        <d v="2025-01-22T00:00:00"/>
        <d v="2025-08-23T00:00:00"/>
        <d v="2024-11-11T00:00:00"/>
        <d v="2024-01-14T00:00:00"/>
        <d v="2024-08-29T00:00:00"/>
        <d v="2024-12-11T00:00:00"/>
        <d v="2025-07-18T00:00:00"/>
        <d v="2024-12-05T00:00:00"/>
        <d v="2024-04-01T00:00:00"/>
        <d v="2025-01-01T00:00:00"/>
        <d v="2025-03-30T00:00:00"/>
        <d v="2025-03-03T00:00:00"/>
        <d v="2025-05-23T00:00:00"/>
        <d v="2024-02-04T00:00:00"/>
        <d v="2024-07-24T00:00:00"/>
        <d v="2024-03-21T00:00:00"/>
        <d v="2025-07-15T00:00:00"/>
        <d v="2024-01-02T00:00:00"/>
        <d v="2025-01-24T00:00:00"/>
        <d v="2025-07-19T00:00:00"/>
        <d v="2024-04-15T00:00:00"/>
        <d v="2025-04-21T00:00:00"/>
        <d v="2025-12-03T00:00:00"/>
        <d v="2025-02-05T00:00:00"/>
        <d v="2025-12-30T00:00:00"/>
        <d v="2025-07-09T00:00:00"/>
        <d v="2024-06-10T00:00:00"/>
        <d v="2024-07-20T00:00:00"/>
        <d v="2024-09-26T00:00:00"/>
        <d v="2025-03-31T00:00:00"/>
        <d v="2025-04-06T00:00:00"/>
        <d v="2025-12-27T00:00:00"/>
        <d v="2024-09-08T00:00:00"/>
        <d v="2025-12-02T00:00:00"/>
        <d v="2024-10-22T00:00:00"/>
        <d v="2025-12-25T00:00:00"/>
        <d v="2025-12-20T00:00:00"/>
        <d v="2024-12-03T00:00:00"/>
        <d v="2024-02-22T00:00:00"/>
        <d v="2024-08-04T00:00:00"/>
        <d v="2024-07-06T00:00:00"/>
        <d v="2025-01-14T00:00:00"/>
        <d v="2025-05-07T00:00:00"/>
        <d v="2024-02-10T00:00:00"/>
        <d v="2024-06-05T00:00:00"/>
        <d v="2024-01-15T00:00:00"/>
        <d v="2024-03-05T00:00:00"/>
        <d v="2025-06-04T00:00:00"/>
        <d v="2024-05-08T00:00:00"/>
        <d v="2025-10-09T00:00:00"/>
        <d v="2025-04-16T00:00:00"/>
        <d v="2024-03-03T00:00:00"/>
        <d v="2024-05-18T00:00:00"/>
        <d v="2025-05-13T00:00:00"/>
        <d v="2025-08-15T00:00:00"/>
        <d v="2025-01-26T00:00:00"/>
        <d v="2025-11-05T00:00:00"/>
        <d v="2025-02-22T00:00:00"/>
        <d v="2024-10-15T00:00:00"/>
        <d v="2025-01-13T00:00:00"/>
        <d v="2025-05-04T00:00:00"/>
        <d v="2024-08-18T00:00:00"/>
        <d v="2024-01-28T00:00:00"/>
        <d v="2024-05-14T00:00:00"/>
        <d v="2024-07-19T00:00:00"/>
        <d v="2024-02-02T00:00:00"/>
        <d v="2024-02-17T00:00:00"/>
        <d v="2025-05-17T00:00:00"/>
        <d v="2025-02-10T00:00:00"/>
        <d v="2025-07-27T00:00:00"/>
        <d v="2025-12-28T00:00:00"/>
        <d v="2024-04-08T00:00:00"/>
        <d v="2025-11-14T00:00:00"/>
        <d v="2025-12-26T00:00:00"/>
        <d v="2025-06-30T00:00:00"/>
        <d v="2025-09-04T00:00:00"/>
        <d v="2025-10-04T00:00:00"/>
        <d v="2024-01-05T00:00:00"/>
        <d v="2024-08-05T00:00:00"/>
        <d v="2025-02-01T00:00:00"/>
        <d v="2025-01-27T00:00:00"/>
        <d v="2024-07-25T00:00:00"/>
        <d v="2025-07-07T00:00:00"/>
        <d v="2025-04-05T00:00:00"/>
        <d v="2025-11-21T00:00:00"/>
        <d v="2025-07-28T00:00:00"/>
        <d v="2024-08-28T00:00:00"/>
        <d v="2025-07-17T00:00:00"/>
        <d v="2024-04-05T00:00:00"/>
        <d v="2025-10-16T00:00:00"/>
        <d v="2024-06-19T00:00:00"/>
        <d v="2025-06-24T00:00:00"/>
        <d v="2024-02-05T00:00:00"/>
        <d v="2025-06-08T00:00:00"/>
        <d v="2024-06-08T00:00:00"/>
        <d v="2025-11-29T00:00:00"/>
        <d v="2024-08-30T00:00:00"/>
        <d v="2024-03-26T00:00:00"/>
        <d v="2025-07-31T00:00:00"/>
        <d v="2025-07-10T00:00:00"/>
        <d v="2025-10-07T00:00:00"/>
        <d v="2025-09-11T00:00:00"/>
        <d v="2025-10-01T00:00:00"/>
        <d v="2025-05-20T00:00:00"/>
        <d v="2024-12-13T00:00:00"/>
        <d v="2025-04-17T00:00:00"/>
        <d v="2024-08-12T00:00:00"/>
        <d v="2025-01-19T00:00:00"/>
        <d v="2025-01-11T00:00:00"/>
        <d v="2024-10-09T00:00:00"/>
        <d v="2025-09-24T00:00:00"/>
        <d v="2025-09-19T00:00:00"/>
        <d v="2024-09-15T00:00:00"/>
        <d v="2024-12-24T00:00:00"/>
        <d v="2025-12-10T00:00:00"/>
        <d v="2025-02-14T00:00:00"/>
        <d v="2025-10-10T00:00:00"/>
        <d v="2024-11-13T00:00:00"/>
        <d v="2025-11-07T00:00:00"/>
        <d v="2024-08-21T00:00:00"/>
        <d v="2025-01-08T00:00:00"/>
        <d v="2025-11-02T00:00:00"/>
        <d v="2025-08-30T00:00:00"/>
        <d v="2024-08-20T00:00:00"/>
        <d v="2025-11-22T00:00:00"/>
        <d v="2024-04-22T00:00:00"/>
        <d v="2025-05-11T00:00:00"/>
        <d v="2025-03-17T00:00:00"/>
        <d v="2024-09-24T00:00:00"/>
        <d v="2025-05-24T00:00:00"/>
        <d v="2025-01-21T00:00:00"/>
        <d v="2025-09-16T00:00:00"/>
        <d v="2025-10-03T00:00:00"/>
        <d v="2024-08-07T00:00:00"/>
        <d v="2025-02-06T00:00:00"/>
        <d v="2025-09-29T00:00:00"/>
        <d v="2024-05-09T00:00:00"/>
        <d v="2025-02-19T00:00:00"/>
        <d v="2024-09-03T00:00:00"/>
        <d v="2025-03-14T00:00:00"/>
        <d v="2024-07-21T00:00:00"/>
        <d v="2024-07-02T00:00:00"/>
        <d v="2024-05-02T00:00:00"/>
        <d v="2025-02-04T00:00:00"/>
        <d v="2024-10-20T00:00:00"/>
        <d v="2024-10-06T00:00:00"/>
        <d v="2025-09-01T00:00:00"/>
        <d v="2024-07-16T00:00:00"/>
        <d v="2024-05-23T00:00:00"/>
        <d v="2025-08-31T00:00:00"/>
        <d v="2024-05-03T00:00:00"/>
        <d v="2024-07-05T00:00:00"/>
        <d v="2024-11-21T00:00:00"/>
        <d v="2025-04-08T00:00:00"/>
        <d v="2024-12-14T00:00:00"/>
        <d v="2025-10-21T00:00:00"/>
        <d v="2024-05-26T00:00:00"/>
        <d v="2024-05-27T00:00:00"/>
        <d v="2025-12-11T00:00:00"/>
        <d v="2025-05-03T00:00:00"/>
        <d v="2025-07-04T00:00:00"/>
        <d v="2025-10-02T00:00:00"/>
        <d v="2024-05-30T00:00:00"/>
        <d v="2025-02-18T00:00:00"/>
        <d v="2024-10-24T00:00:00"/>
        <d v="2025-09-02T00:00:00"/>
        <d v="2024-09-19T00:00:00"/>
        <d v="2025-09-15T00:00:00"/>
        <d v="2025-07-25T00:00:00"/>
        <d v="2024-10-30T00:00:00"/>
        <d v="2024-09-10T00:00:00"/>
        <d v="2025-10-13T00:00:00"/>
        <d v="2025-03-28T00:00:00"/>
        <d v="2024-02-06T00:00:00"/>
        <d v="2024-01-09T00:00:00"/>
        <d v="2025-10-20T00:00:00"/>
        <d v="2024-07-26T00:00:00"/>
        <d v="2025-02-07T00:00:00"/>
        <d v="2024-05-31T00:00:00"/>
        <d v="2024-02-23T00:00:00"/>
        <d v="2024-04-29T00:00:00"/>
        <d v="2025-11-03T00:00:00"/>
        <d v="2025-08-09T00:00:00"/>
        <d v="2025-02-23T00:00:00"/>
        <d v="2025-02-25T00:00:00"/>
        <d v="2024-04-13T00:00:00"/>
        <d v="2024-08-14T00:00:00"/>
        <d v="2024-04-21T00:00:00"/>
        <d v="2024-06-01T00:00:00"/>
        <d v="2025-12-06T00:00:00"/>
        <d v="2024-06-11T00:00:00"/>
        <d v="2025-11-11T00:00:00"/>
        <d v="2025-08-02T00:00:00"/>
        <d v="2025-05-18T00:00:00"/>
        <d v="2024-07-13T00:00:00"/>
        <d v="2025-11-18T00:00:00"/>
        <d v="2025-04-14T00:00:00"/>
        <d v="2025-01-09T00:00:00"/>
        <d v="2025-10-31T00:00:00"/>
        <d v="2024-02-07T00:00:00"/>
        <d v="2024-08-17T00:00:00"/>
        <d v="2024-12-30T00:00:00"/>
        <d v="2025-03-13T00:00:00"/>
        <d v="2024-01-27T00:00:00"/>
        <d v="2024-08-13T00:00:00"/>
        <d v="2024-10-10T00:00:00"/>
        <d v="2025-04-25T00:00:00"/>
        <d v="2025-05-30T00:00:00"/>
        <d v="2024-02-18T00:00:00"/>
        <d v="2025-05-26T00:00:00"/>
        <d v="2024-01-17T00:00:00"/>
        <d v="2024-06-20T00:00:00"/>
        <d v="2024-06-06T00:00:00"/>
        <d v="2024-02-15T00:00:00"/>
        <d v="2025-06-01T00:00:00"/>
        <d v="2024-10-28T00:00:00"/>
        <d v="2024-06-29T00:00:00"/>
        <d v="2025-08-29T00:00:00"/>
        <d v="2024-04-25T00:00:00"/>
        <d v="2024-07-09T00:00:00"/>
        <d v="2024-09-12T00:00:00"/>
        <d v="2024-11-18T00:00:00"/>
        <d v="2024-05-07T00:00:00"/>
        <d v="2024-01-18T00:00:00"/>
        <d v="2025-07-23T00:00:00"/>
        <d v="2025-11-16T00:00:00"/>
        <d v="2025-09-17T00:00:00"/>
        <d v="2024-10-14T00:00:00"/>
        <d v="2025-10-24T00:00:00"/>
        <d v="2025-09-30T00:00:00"/>
        <d v="2024-06-03T00:00:00"/>
        <d v="2024-09-02T00:00:00"/>
        <d v="2024-06-24T00:00:00"/>
        <d v="2024-02-08T00:00:00"/>
        <d v="2025-06-21T00:00:00"/>
        <d v="2025-02-11T00:00:00"/>
        <d v="2025-11-15T00:00:00"/>
        <d v="2024-01-20T00:00:00"/>
        <d v="2024-11-16T00:00:00"/>
        <d v="2025-02-03T00:00:00"/>
        <d v="2025-10-15T00:00:00"/>
        <d v="2025-04-15T00:00:00"/>
        <d v="2024-05-22T00:00:00"/>
        <d v="2024-12-19T00:00:00"/>
        <d v="2024-02-20T00:00:00"/>
        <d v="2025-10-26T00:00:00"/>
        <d v="2025-11-28T00:00:00"/>
        <d v="2024-05-04T00:00:00"/>
        <d v="2024-05-29T00:00:00"/>
        <d v="2024-12-07T00:00:00"/>
        <d v="2024-10-31T00:00:00"/>
        <d v="2025-03-19T00:00:00"/>
        <d v="2024-09-20T00:00:00"/>
        <d v="2024-07-14T00:00:00"/>
        <d v="2024-12-15T00:00:00"/>
        <d v="2024-02-16T00:00:00"/>
        <d v="2025-10-17T00:00:00"/>
        <d v="2024-09-25T00:00:00"/>
        <d v="2025-01-04T00:00:00"/>
        <d v="2025-09-27T00:00:00"/>
        <d v="2025-10-18T00:00:00"/>
        <d v="2025-08-26T00:00:00"/>
        <d v="2024-02-27T00:00:00"/>
        <d v="2025-04-18T00:00:00"/>
        <d v="2024-04-26T00:00:00"/>
        <d v="2024-05-06T00:00:00"/>
        <d v="2025-09-25T00:00:00"/>
        <d v="2025-05-27T00:00:00"/>
        <d v="2024-04-27T00:00:00"/>
        <d v="2025-07-13T00:00:00"/>
        <d v="2025-05-02T00:00:00"/>
        <d v="2024-08-24T00:00:00"/>
        <d v="2024-09-28T00:00:00"/>
        <d v="2024-07-07T00:00:00"/>
        <d v="2025-12-04T00:00:00"/>
        <d v="2025-03-22T00:00:00"/>
        <d v="2025-08-03T00:00:00"/>
        <d v="2024-03-16T00:00:00"/>
        <d v="2024-06-02T00:00:00"/>
        <d v="2025-03-10T00:00:00"/>
        <d v="2025-11-27T00:00:00"/>
        <d v="2024-10-11T00:00:00"/>
        <d v="2024-03-09T00:00:00"/>
        <d v="2024-04-03T00:00:00"/>
        <d v="2024-07-22T00:00:00"/>
        <d v="2025-03-07T00:00:00"/>
        <d v="2024-12-06T00:00:00"/>
        <d v="2025-09-03T00:00:00"/>
        <d v="2024-12-22T00:00:00"/>
        <d v="2024-01-23T00:00:00"/>
        <d v="2025-06-05T00:00:00"/>
        <d v="2024-06-28T00:00:00"/>
        <d v="2024-08-10T00:00:00"/>
        <d v="2024-11-20T00:00:00"/>
        <d v="2024-01-16T00:00:00"/>
        <d v="2024-12-01T00:00:00"/>
        <d v="2024-09-14T00:00:00"/>
        <d v="2025-11-20T00:00:00"/>
      </sharedItems>
      <fieldGroup par="9"/>
    </cacheField>
    <cacheField name="Shift (A/B/C)" numFmtId="0">
      <sharedItems/>
    </cacheField>
    <cacheField name="Machine ID" numFmtId="0">
      <sharedItems count="20">
        <s v="M001"/>
        <s v="M014"/>
        <s v="M009"/>
        <s v="M019"/>
        <s v="M012"/>
        <s v="M016"/>
        <s v="M007"/>
        <s v="M013"/>
        <s v="M017"/>
        <s v="M020"/>
        <s v="M018"/>
        <s v="M011"/>
        <s v="M004"/>
        <s v="M008"/>
        <s v="M015"/>
        <s v="M003"/>
        <s v="M006"/>
        <s v="M010"/>
        <s v="M005"/>
        <s v="M002"/>
      </sharedItems>
    </cacheField>
    <cacheField name="Units Produced" numFmtId="0">
      <sharedItems containsSemiMixedTypes="0" containsString="0" containsNumber="1" containsInteger="1" minValue="200" maxValue="999"/>
    </cacheField>
    <cacheField name="Defective Units" numFmtId="0">
      <sharedItems containsSemiMixedTypes="0" containsString="0" containsNumber="1" containsInteger="1" minValue="2" maxValue="87"/>
    </cacheField>
    <cacheField name="Operator Name" numFmtId="0">
      <sharedItems count="30">
        <s v="Operator_25"/>
        <s v="Operator_4"/>
        <s v="Operator_14"/>
        <s v="Operator_21"/>
        <s v="Operator_29"/>
        <s v="Operator_27"/>
        <s v="Operator_5"/>
        <s v="Operator_9"/>
        <s v="Operator_30"/>
        <s v="Operator_6"/>
        <s v="Operator_28"/>
        <s v="Operator_15"/>
        <s v="Operator_1"/>
        <s v="Operator_7"/>
        <s v="Operator_2"/>
        <s v="Operator_19"/>
        <s v="Operator_3"/>
        <s v="Operator_24"/>
        <s v="Operator_17"/>
        <s v="Operator_20"/>
        <s v="Operator_8"/>
        <s v="Operator_22"/>
        <s v="Operator_18"/>
        <s v="Operator_23"/>
        <s v="Operator_26"/>
        <s v="Operator_11"/>
        <s v="Operator_16"/>
        <s v="Operator_13"/>
        <s v="Operator_10"/>
        <s v="Operator_12"/>
      </sharedItems>
    </cacheField>
    <cacheField name="Defect as percentage" numFmtId="0">
      <sharedItems containsSemiMixedTypes="0" containsString="0" containsNumber="1" minValue="0.70422535211267612" maxValue="10.160427807486631"/>
    </cacheField>
    <cacheField name="Months (Production Date)" numFmtId="0" databaseField="0">
      <fieldGroup base="0">
        <rangePr groupBy="months" startDate="2024-01-02T00:00:00" endDate="2025-12-31T00:00:00"/>
        <groupItems count="14">
          <s v="&lt;02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5"/>
        </groupItems>
      </fieldGroup>
    </cacheField>
    <cacheField name="Quarters (Production Date)" numFmtId="0" databaseField="0">
      <fieldGroup base="0">
        <rangePr groupBy="quarters" startDate="2024-01-02T00:00:00" endDate="2025-12-31T00:00:00"/>
        <groupItems count="6">
          <s v="&lt;02-01-2024"/>
          <s v="Qtr1"/>
          <s v="Qtr2"/>
          <s v="Qtr3"/>
          <s v="Qtr4"/>
          <s v="&gt;31-12-2025"/>
        </groupItems>
      </fieldGroup>
    </cacheField>
    <cacheField name="Years (Production Date)" numFmtId="0" databaseField="0">
      <fieldGroup base="0">
        <rangePr groupBy="years" startDate="2024-01-02T00:00:00" endDate="2025-12-31T00:00:00"/>
        <groupItems count="4">
          <s v="&lt;02-01-2024"/>
          <s v="2024"/>
          <s v="2025"/>
          <s v="&gt;3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B"/>
    <x v="0"/>
    <n v="744"/>
    <n v="32"/>
    <x v="0"/>
    <n v="4.3010752688172049"/>
  </r>
  <r>
    <x v="1"/>
    <s v="A"/>
    <x v="1"/>
    <n v="812"/>
    <n v="52"/>
    <x v="1"/>
    <n v="6.403940886699508"/>
  </r>
  <r>
    <x v="2"/>
    <s v="A"/>
    <x v="2"/>
    <n v="367"/>
    <n v="22"/>
    <x v="2"/>
    <n v="5.9945504087193457"/>
  </r>
  <r>
    <x v="3"/>
    <s v="C"/>
    <x v="3"/>
    <n v="596"/>
    <n v="13"/>
    <x v="3"/>
    <n v="2.1812080536912752"/>
  </r>
  <r>
    <x v="4"/>
    <s v="B"/>
    <x v="4"/>
    <n v="452"/>
    <n v="8"/>
    <x v="4"/>
    <n v="1.7699115044247788"/>
  </r>
  <r>
    <x v="5"/>
    <s v="C"/>
    <x v="5"/>
    <n v="289"/>
    <n v="11"/>
    <x v="4"/>
    <n v="3.8062283737024223"/>
  </r>
  <r>
    <x v="6"/>
    <s v="B"/>
    <x v="6"/>
    <n v="801"/>
    <n v="23"/>
    <x v="5"/>
    <n v="2.8714107365792758"/>
  </r>
  <r>
    <x v="7"/>
    <s v="C"/>
    <x v="5"/>
    <n v="395"/>
    <n v="21"/>
    <x v="3"/>
    <n v="5.3164556962025316"/>
  </r>
  <r>
    <x v="8"/>
    <s v="B"/>
    <x v="7"/>
    <n v="274"/>
    <n v="22"/>
    <x v="1"/>
    <n v="8.0291970802919703"/>
  </r>
  <r>
    <x v="9"/>
    <s v="B"/>
    <x v="8"/>
    <n v="476"/>
    <n v="38"/>
    <x v="6"/>
    <n v="7.9831932773109235"/>
  </r>
  <r>
    <x v="10"/>
    <s v="B"/>
    <x v="4"/>
    <n v="656"/>
    <n v="34"/>
    <x v="7"/>
    <n v="5.1829268292682924"/>
  </r>
  <r>
    <x v="11"/>
    <s v="B"/>
    <x v="0"/>
    <n v="298"/>
    <n v="10"/>
    <x v="8"/>
    <n v="3.3557046979865772"/>
  </r>
  <r>
    <x v="12"/>
    <s v="C"/>
    <x v="6"/>
    <n v="295"/>
    <n v="12"/>
    <x v="9"/>
    <n v="4.0677966101694913"/>
  </r>
  <r>
    <x v="13"/>
    <s v="A"/>
    <x v="9"/>
    <n v="236"/>
    <n v="6"/>
    <x v="1"/>
    <n v="2.5423728813559325"/>
  </r>
  <r>
    <x v="14"/>
    <s v="B"/>
    <x v="4"/>
    <n v="478"/>
    <n v="22"/>
    <x v="10"/>
    <n v="4.6025104602510458"/>
  </r>
  <r>
    <x v="15"/>
    <s v="C"/>
    <x v="10"/>
    <n v="472"/>
    <n v="22"/>
    <x v="5"/>
    <n v="4.6610169491525424"/>
  </r>
  <r>
    <x v="16"/>
    <s v="C"/>
    <x v="0"/>
    <n v="928"/>
    <n v="37"/>
    <x v="5"/>
    <n v="3.9870689655172415"/>
  </r>
  <r>
    <x v="17"/>
    <s v="A"/>
    <x v="7"/>
    <n v="376"/>
    <n v="6"/>
    <x v="3"/>
    <n v="1.5957446808510638"/>
  </r>
  <r>
    <x v="18"/>
    <s v="B"/>
    <x v="11"/>
    <n v="275"/>
    <n v="12"/>
    <x v="11"/>
    <n v="4.3636363636363642"/>
  </r>
  <r>
    <x v="19"/>
    <s v="C"/>
    <x v="6"/>
    <n v="934"/>
    <n v="74"/>
    <x v="12"/>
    <n v="7.9229122055674521"/>
  </r>
  <r>
    <x v="20"/>
    <s v="C"/>
    <x v="12"/>
    <n v="566"/>
    <n v="6"/>
    <x v="13"/>
    <n v="1.0600706713780919"/>
  </r>
  <r>
    <x v="21"/>
    <s v="B"/>
    <x v="5"/>
    <n v="595"/>
    <n v="21"/>
    <x v="14"/>
    <n v="3.5294117647058822"/>
  </r>
  <r>
    <x v="22"/>
    <s v="A"/>
    <x v="13"/>
    <n v="683"/>
    <n v="60"/>
    <x v="15"/>
    <n v="8.7847730600292824"/>
  </r>
  <r>
    <x v="23"/>
    <s v="A"/>
    <x v="1"/>
    <n v="238"/>
    <n v="3"/>
    <x v="11"/>
    <n v="1.2605042016806722"/>
  </r>
  <r>
    <x v="24"/>
    <s v="A"/>
    <x v="14"/>
    <n v="597"/>
    <n v="27"/>
    <x v="5"/>
    <n v="4.5226130653266337"/>
  </r>
  <r>
    <x v="25"/>
    <s v="B"/>
    <x v="13"/>
    <n v="414"/>
    <n v="22"/>
    <x v="4"/>
    <n v="5.3140096618357484"/>
  </r>
  <r>
    <x v="26"/>
    <s v="A"/>
    <x v="15"/>
    <n v="950"/>
    <n v="21"/>
    <x v="16"/>
    <n v="2.2105263157894735"/>
  </r>
  <r>
    <x v="27"/>
    <s v="C"/>
    <x v="3"/>
    <n v="691"/>
    <n v="58"/>
    <x v="15"/>
    <n v="8.3936324167872645"/>
  </r>
  <r>
    <x v="28"/>
    <s v="C"/>
    <x v="6"/>
    <n v="373"/>
    <n v="16"/>
    <x v="13"/>
    <n v="4.2895442359249332"/>
  </r>
  <r>
    <x v="29"/>
    <s v="C"/>
    <x v="7"/>
    <n v="994"/>
    <n v="44"/>
    <x v="17"/>
    <n v="4.4265593561368206"/>
  </r>
  <r>
    <x v="30"/>
    <s v="B"/>
    <x v="3"/>
    <n v="364"/>
    <n v="10"/>
    <x v="18"/>
    <n v="2.7472527472527473"/>
  </r>
  <r>
    <x v="31"/>
    <s v="C"/>
    <x v="16"/>
    <n v="564"/>
    <n v="24"/>
    <x v="16"/>
    <n v="4.2553191489361701"/>
  </r>
  <r>
    <x v="32"/>
    <s v="B"/>
    <x v="14"/>
    <n v="710"/>
    <n v="55"/>
    <x v="19"/>
    <n v="7.7464788732394361"/>
  </r>
  <r>
    <x v="33"/>
    <s v="A"/>
    <x v="10"/>
    <n v="269"/>
    <n v="15"/>
    <x v="12"/>
    <n v="5.5762081784386615"/>
  </r>
  <r>
    <x v="34"/>
    <s v="B"/>
    <x v="6"/>
    <n v="381"/>
    <n v="19"/>
    <x v="12"/>
    <n v="4.9868766404199478"/>
  </r>
  <r>
    <x v="35"/>
    <s v="A"/>
    <x v="15"/>
    <n v="730"/>
    <n v="12"/>
    <x v="20"/>
    <n v="1.6438356164383561"/>
  </r>
  <r>
    <x v="36"/>
    <s v="C"/>
    <x v="12"/>
    <n v="852"/>
    <n v="34"/>
    <x v="19"/>
    <n v="3.9906103286384975"/>
  </r>
  <r>
    <x v="37"/>
    <s v="C"/>
    <x v="17"/>
    <n v="859"/>
    <n v="12"/>
    <x v="8"/>
    <n v="1.3969732246798603"/>
  </r>
  <r>
    <x v="38"/>
    <s v="A"/>
    <x v="6"/>
    <n v="560"/>
    <n v="38"/>
    <x v="21"/>
    <n v="6.7857142857142856"/>
  </r>
  <r>
    <x v="39"/>
    <s v="C"/>
    <x v="7"/>
    <n v="547"/>
    <n v="39"/>
    <x v="6"/>
    <n v="7.1297989031078606"/>
  </r>
  <r>
    <x v="40"/>
    <s v="C"/>
    <x v="8"/>
    <n v="568"/>
    <n v="9"/>
    <x v="3"/>
    <n v="1.584507042253521"/>
  </r>
  <r>
    <x v="41"/>
    <s v="C"/>
    <x v="11"/>
    <n v="316"/>
    <n v="17"/>
    <x v="22"/>
    <n v="5.3797468354430382"/>
  </r>
  <r>
    <x v="42"/>
    <s v="B"/>
    <x v="18"/>
    <n v="871"/>
    <n v="38"/>
    <x v="17"/>
    <n v="4.3628013777267505"/>
  </r>
  <r>
    <x v="43"/>
    <s v="A"/>
    <x v="5"/>
    <n v="279"/>
    <n v="16"/>
    <x v="1"/>
    <n v="5.7347670250896057"/>
  </r>
  <r>
    <x v="17"/>
    <s v="A"/>
    <x v="2"/>
    <n v="428"/>
    <n v="13"/>
    <x v="17"/>
    <n v="3.0373831775700935"/>
  </r>
  <r>
    <x v="44"/>
    <s v="A"/>
    <x v="17"/>
    <n v="640"/>
    <n v="32"/>
    <x v="14"/>
    <n v="5"/>
  </r>
  <r>
    <x v="45"/>
    <s v="B"/>
    <x v="6"/>
    <n v="725"/>
    <n v="28"/>
    <x v="1"/>
    <n v="3.8620689655172415"/>
  </r>
  <r>
    <x v="6"/>
    <s v="A"/>
    <x v="15"/>
    <n v="765"/>
    <n v="48"/>
    <x v="21"/>
    <n v="6.2745098039215685"/>
  </r>
  <r>
    <x v="46"/>
    <s v="B"/>
    <x v="1"/>
    <n v="211"/>
    <n v="11"/>
    <x v="22"/>
    <n v="5.2132701421800949"/>
  </r>
  <r>
    <x v="47"/>
    <s v="B"/>
    <x v="7"/>
    <n v="557"/>
    <n v="25"/>
    <x v="4"/>
    <n v="4.4883303411131061"/>
  </r>
  <r>
    <x v="48"/>
    <s v="B"/>
    <x v="0"/>
    <n v="207"/>
    <n v="4"/>
    <x v="23"/>
    <n v="1.932367149758454"/>
  </r>
  <r>
    <x v="49"/>
    <s v="B"/>
    <x v="16"/>
    <n v="847"/>
    <n v="30"/>
    <x v="24"/>
    <n v="3.5419126328217239"/>
  </r>
  <r>
    <x v="50"/>
    <s v="A"/>
    <x v="9"/>
    <n v="931"/>
    <n v="28"/>
    <x v="2"/>
    <n v="3.007518796992481"/>
  </r>
  <r>
    <x v="51"/>
    <s v="B"/>
    <x v="3"/>
    <n v="701"/>
    <n v="7"/>
    <x v="20"/>
    <n v="0.99857346647646217"/>
  </r>
  <r>
    <x v="52"/>
    <s v="C"/>
    <x v="4"/>
    <n v="923"/>
    <n v="41"/>
    <x v="11"/>
    <n v="4.4420368364030338"/>
  </r>
  <r>
    <x v="53"/>
    <s v="B"/>
    <x v="8"/>
    <n v="757"/>
    <n v="14"/>
    <x v="15"/>
    <n v="1.8494055482166447"/>
  </r>
  <r>
    <x v="54"/>
    <s v="B"/>
    <x v="16"/>
    <n v="455"/>
    <n v="28"/>
    <x v="7"/>
    <n v="6.1538461538461542"/>
  </r>
  <r>
    <x v="55"/>
    <s v="C"/>
    <x v="14"/>
    <n v="209"/>
    <n v="19"/>
    <x v="19"/>
    <n v="9.0909090909090917"/>
  </r>
  <r>
    <x v="56"/>
    <s v="C"/>
    <x v="5"/>
    <n v="204"/>
    <n v="2"/>
    <x v="11"/>
    <n v="0.98039215686274506"/>
  </r>
  <r>
    <x v="57"/>
    <s v="A"/>
    <x v="3"/>
    <n v="264"/>
    <n v="14"/>
    <x v="16"/>
    <n v="5.3030303030303028"/>
  </r>
  <r>
    <x v="58"/>
    <s v="B"/>
    <x v="6"/>
    <n v="978"/>
    <n v="46"/>
    <x v="10"/>
    <n v="4.703476482617587"/>
  </r>
  <r>
    <x v="59"/>
    <s v="A"/>
    <x v="14"/>
    <n v="994"/>
    <n v="36"/>
    <x v="5"/>
    <n v="3.6217303822937628"/>
  </r>
  <r>
    <x v="60"/>
    <s v="B"/>
    <x v="0"/>
    <n v="304"/>
    <n v="10"/>
    <x v="19"/>
    <n v="3.2894736842105261"/>
  </r>
  <r>
    <x v="61"/>
    <s v="B"/>
    <x v="16"/>
    <n v="717"/>
    <n v="42"/>
    <x v="24"/>
    <n v="5.8577405857740583"/>
  </r>
  <r>
    <x v="62"/>
    <s v="B"/>
    <x v="1"/>
    <n v="844"/>
    <n v="69"/>
    <x v="6"/>
    <n v="8.1753554502369674"/>
  </r>
  <r>
    <x v="63"/>
    <s v="A"/>
    <x v="2"/>
    <n v="764"/>
    <n v="70"/>
    <x v="8"/>
    <n v="9.1623036649214651"/>
  </r>
  <r>
    <x v="64"/>
    <s v="C"/>
    <x v="1"/>
    <n v="344"/>
    <n v="7"/>
    <x v="19"/>
    <n v="2.0348837209302326"/>
  </r>
  <r>
    <x v="48"/>
    <s v="C"/>
    <x v="2"/>
    <n v="200"/>
    <n v="16"/>
    <x v="13"/>
    <n v="8"/>
  </r>
  <r>
    <x v="65"/>
    <s v="B"/>
    <x v="18"/>
    <n v="645"/>
    <n v="53"/>
    <x v="12"/>
    <n v="8.2170542635658919"/>
  </r>
  <r>
    <x v="66"/>
    <s v="B"/>
    <x v="14"/>
    <n v="233"/>
    <n v="6"/>
    <x v="21"/>
    <n v="2.5751072961373391"/>
  </r>
  <r>
    <x v="67"/>
    <s v="B"/>
    <x v="3"/>
    <n v="353"/>
    <n v="15"/>
    <x v="25"/>
    <n v="4.2492917847025495"/>
  </r>
  <r>
    <x v="68"/>
    <s v="A"/>
    <x v="3"/>
    <n v="970"/>
    <n v="54"/>
    <x v="20"/>
    <n v="5.5670103092783512"/>
  </r>
  <r>
    <x v="69"/>
    <s v="A"/>
    <x v="18"/>
    <n v="253"/>
    <n v="14"/>
    <x v="12"/>
    <n v="5.5335968379446641"/>
  </r>
  <r>
    <x v="70"/>
    <s v="C"/>
    <x v="17"/>
    <n v="962"/>
    <n v="28"/>
    <x v="20"/>
    <n v="2.9106029106029108"/>
  </r>
  <r>
    <x v="71"/>
    <s v="C"/>
    <x v="0"/>
    <n v="502"/>
    <n v="23"/>
    <x v="13"/>
    <n v="4.5816733067729087"/>
  </r>
  <r>
    <x v="72"/>
    <s v="B"/>
    <x v="6"/>
    <n v="777"/>
    <n v="64"/>
    <x v="7"/>
    <n v="8.2368082368082369"/>
  </r>
  <r>
    <x v="73"/>
    <s v="C"/>
    <x v="9"/>
    <n v="903"/>
    <n v="9"/>
    <x v="20"/>
    <n v="0.99667774086378735"/>
  </r>
  <r>
    <x v="74"/>
    <s v="C"/>
    <x v="6"/>
    <n v="297"/>
    <n v="16"/>
    <x v="14"/>
    <n v="5.3872053872053867"/>
  </r>
  <r>
    <x v="75"/>
    <s v="A"/>
    <x v="10"/>
    <n v="634"/>
    <n v="42"/>
    <x v="20"/>
    <n v="6.624605678233439"/>
  </r>
  <r>
    <x v="76"/>
    <s v="A"/>
    <x v="3"/>
    <n v="365"/>
    <n v="18"/>
    <x v="4"/>
    <n v="4.9315068493150687"/>
  </r>
  <r>
    <x v="2"/>
    <s v="A"/>
    <x v="16"/>
    <n v="741"/>
    <n v="48"/>
    <x v="4"/>
    <n v="6.4777327935222671"/>
  </r>
  <r>
    <x v="77"/>
    <s v="A"/>
    <x v="2"/>
    <n v="332"/>
    <n v="21"/>
    <x v="26"/>
    <n v="6.3253012048192767"/>
  </r>
  <r>
    <x v="78"/>
    <s v="B"/>
    <x v="14"/>
    <n v="600"/>
    <n v="22"/>
    <x v="10"/>
    <n v="3.6666666666666665"/>
  </r>
  <r>
    <x v="79"/>
    <s v="B"/>
    <x v="9"/>
    <n v="268"/>
    <n v="20"/>
    <x v="4"/>
    <n v="7.4626865671641784"/>
  </r>
  <r>
    <x v="80"/>
    <s v="B"/>
    <x v="18"/>
    <n v="404"/>
    <n v="10"/>
    <x v="0"/>
    <n v="2.4752475247524752"/>
  </r>
  <r>
    <x v="81"/>
    <s v="A"/>
    <x v="2"/>
    <n v="310"/>
    <n v="4"/>
    <x v="0"/>
    <n v="1.2903225806451613"/>
  </r>
  <r>
    <x v="82"/>
    <s v="A"/>
    <x v="16"/>
    <n v="294"/>
    <n v="12"/>
    <x v="26"/>
    <n v="4.0816326530612246"/>
  </r>
  <r>
    <x v="83"/>
    <s v="B"/>
    <x v="17"/>
    <n v="559"/>
    <n v="31"/>
    <x v="7"/>
    <n v="5.5456171735241506"/>
  </r>
  <r>
    <x v="84"/>
    <s v="B"/>
    <x v="17"/>
    <n v="394"/>
    <n v="23"/>
    <x v="16"/>
    <n v="5.8375634517766501"/>
  </r>
  <r>
    <x v="85"/>
    <s v="A"/>
    <x v="19"/>
    <n v="260"/>
    <n v="4"/>
    <x v="13"/>
    <n v="1.5384615384615385"/>
  </r>
  <r>
    <x v="86"/>
    <s v="A"/>
    <x v="2"/>
    <n v="204"/>
    <n v="6"/>
    <x v="6"/>
    <n v="2.9411764705882351"/>
  </r>
  <r>
    <x v="87"/>
    <s v="B"/>
    <x v="15"/>
    <n v="733"/>
    <n v="9"/>
    <x v="15"/>
    <n v="1.2278308321964531"/>
  </r>
  <r>
    <x v="88"/>
    <s v="C"/>
    <x v="6"/>
    <n v="432"/>
    <n v="18"/>
    <x v="21"/>
    <n v="4.1666666666666661"/>
  </r>
  <r>
    <x v="89"/>
    <s v="B"/>
    <x v="7"/>
    <n v="277"/>
    <n v="8"/>
    <x v="14"/>
    <n v="2.8880866425992782"/>
  </r>
  <r>
    <x v="90"/>
    <s v="B"/>
    <x v="5"/>
    <n v="993"/>
    <n v="70"/>
    <x v="8"/>
    <n v="7.0493454179254789"/>
  </r>
  <r>
    <x v="91"/>
    <s v="A"/>
    <x v="3"/>
    <n v="438"/>
    <n v="15"/>
    <x v="24"/>
    <n v="3.4246575342465753"/>
  </r>
  <r>
    <x v="92"/>
    <s v="A"/>
    <x v="5"/>
    <n v="247"/>
    <n v="3"/>
    <x v="27"/>
    <n v="1.214574898785425"/>
  </r>
  <r>
    <x v="93"/>
    <s v="C"/>
    <x v="17"/>
    <n v="456"/>
    <n v="7"/>
    <x v="23"/>
    <n v="1.5350877192982455"/>
  </r>
  <r>
    <x v="94"/>
    <s v="B"/>
    <x v="15"/>
    <n v="891"/>
    <n v="20"/>
    <x v="7"/>
    <n v="2.244668911335578"/>
  </r>
  <r>
    <x v="95"/>
    <s v="A"/>
    <x v="18"/>
    <n v="925"/>
    <n v="28"/>
    <x v="19"/>
    <n v="3.0270270270270272"/>
  </r>
  <r>
    <x v="20"/>
    <s v="C"/>
    <x v="15"/>
    <n v="277"/>
    <n v="13"/>
    <x v="20"/>
    <n v="4.6931407942238268"/>
  </r>
  <r>
    <x v="96"/>
    <s v="B"/>
    <x v="5"/>
    <n v="725"/>
    <n v="11"/>
    <x v="28"/>
    <n v="1.5172413793103448"/>
  </r>
  <r>
    <x v="97"/>
    <s v="A"/>
    <x v="8"/>
    <n v="202"/>
    <n v="14"/>
    <x v="13"/>
    <n v="6.9306930693069315"/>
  </r>
  <r>
    <x v="98"/>
    <s v="C"/>
    <x v="13"/>
    <n v="950"/>
    <n v="14"/>
    <x v="19"/>
    <n v="1.4736842105263157"/>
  </r>
  <r>
    <x v="99"/>
    <s v="C"/>
    <x v="5"/>
    <n v="938"/>
    <n v="27"/>
    <x v="16"/>
    <n v="2.8784648187633262"/>
  </r>
  <r>
    <x v="100"/>
    <s v="C"/>
    <x v="8"/>
    <n v="830"/>
    <n v="21"/>
    <x v="18"/>
    <n v="2.5301204819277108"/>
  </r>
  <r>
    <x v="101"/>
    <s v="A"/>
    <x v="16"/>
    <n v="472"/>
    <n v="10"/>
    <x v="6"/>
    <n v="2.1186440677966099"/>
  </r>
  <r>
    <x v="102"/>
    <s v="A"/>
    <x v="7"/>
    <n v="736"/>
    <n v="56"/>
    <x v="21"/>
    <n v="7.608695652173914"/>
  </r>
  <r>
    <x v="103"/>
    <s v="A"/>
    <x v="13"/>
    <n v="779"/>
    <n v="29"/>
    <x v="19"/>
    <n v="3.7227214377406934"/>
  </r>
  <r>
    <x v="104"/>
    <s v="B"/>
    <x v="14"/>
    <n v="345"/>
    <n v="5"/>
    <x v="15"/>
    <n v="1.4492753623188406"/>
  </r>
  <r>
    <x v="105"/>
    <s v="B"/>
    <x v="12"/>
    <n v="233"/>
    <n v="12"/>
    <x v="16"/>
    <n v="5.1502145922746783"/>
  </r>
  <r>
    <x v="106"/>
    <s v="B"/>
    <x v="2"/>
    <n v="947"/>
    <n v="15"/>
    <x v="18"/>
    <n v="1.583949313621964"/>
  </r>
  <r>
    <x v="107"/>
    <s v="A"/>
    <x v="7"/>
    <n v="717"/>
    <n v="55"/>
    <x v="12"/>
    <n v="7.670850767085077"/>
  </r>
  <r>
    <x v="108"/>
    <s v="C"/>
    <x v="8"/>
    <n v="642"/>
    <n v="28"/>
    <x v="9"/>
    <n v="4.361370716510903"/>
  </r>
  <r>
    <x v="109"/>
    <s v="A"/>
    <x v="19"/>
    <n v="940"/>
    <n v="49"/>
    <x v="19"/>
    <n v="5.2127659574468082"/>
  </r>
  <r>
    <x v="91"/>
    <s v="C"/>
    <x v="1"/>
    <n v="476"/>
    <n v="8"/>
    <x v="10"/>
    <n v="1.680672268907563"/>
  </r>
  <r>
    <x v="110"/>
    <s v="B"/>
    <x v="1"/>
    <n v="715"/>
    <n v="37"/>
    <x v="23"/>
    <n v="5.174825174825175"/>
  </r>
  <r>
    <x v="111"/>
    <s v="A"/>
    <x v="12"/>
    <n v="549"/>
    <n v="15"/>
    <x v="1"/>
    <n v="2.7322404371584699"/>
  </r>
  <r>
    <x v="112"/>
    <s v="B"/>
    <x v="13"/>
    <n v="958"/>
    <n v="9"/>
    <x v="5"/>
    <n v="0.93945720250521914"/>
  </r>
  <r>
    <x v="113"/>
    <s v="B"/>
    <x v="3"/>
    <n v="428"/>
    <n v="25"/>
    <x v="4"/>
    <n v="5.8411214953271031"/>
  </r>
  <r>
    <x v="114"/>
    <s v="C"/>
    <x v="4"/>
    <n v="521"/>
    <n v="32"/>
    <x v="12"/>
    <n v="6.1420345489443378"/>
  </r>
  <r>
    <x v="115"/>
    <s v="A"/>
    <x v="16"/>
    <n v="845"/>
    <n v="65"/>
    <x v="13"/>
    <n v="7.6923076923076925"/>
  </r>
  <r>
    <x v="116"/>
    <s v="B"/>
    <x v="17"/>
    <n v="773"/>
    <n v="59"/>
    <x v="2"/>
    <n v="7.6326002587322126"/>
  </r>
  <r>
    <x v="117"/>
    <s v="B"/>
    <x v="18"/>
    <n v="591"/>
    <n v="30"/>
    <x v="18"/>
    <n v="5.0761421319796955"/>
  </r>
  <r>
    <x v="118"/>
    <s v="B"/>
    <x v="3"/>
    <n v="844"/>
    <n v="17"/>
    <x v="25"/>
    <n v="2.014218009478673"/>
  </r>
  <r>
    <x v="119"/>
    <s v="B"/>
    <x v="5"/>
    <n v="986"/>
    <n v="26"/>
    <x v="2"/>
    <n v="2.6369168356997972"/>
  </r>
  <r>
    <x v="120"/>
    <s v="B"/>
    <x v="18"/>
    <n v="339"/>
    <n v="6"/>
    <x v="12"/>
    <n v="1.7699115044247788"/>
  </r>
  <r>
    <x v="121"/>
    <s v="B"/>
    <x v="3"/>
    <n v="519"/>
    <n v="8"/>
    <x v="3"/>
    <n v="1.5414258188824663"/>
  </r>
  <r>
    <x v="122"/>
    <s v="A"/>
    <x v="12"/>
    <n v="710"/>
    <n v="31"/>
    <x v="7"/>
    <n v="4.3661971830985911"/>
  </r>
  <r>
    <x v="123"/>
    <s v="A"/>
    <x v="0"/>
    <n v="872"/>
    <n v="30"/>
    <x v="21"/>
    <n v="3.4403669724770642"/>
  </r>
  <r>
    <x v="78"/>
    <s v="A"/>
    <x v="5"/>
    <n v="460"/>
    <n v="8"/>
    <x v="29"/>
    <n v="1.7391304347826086"/>
  </r>
  <r>
    <x v="124"/>
    <s v="A"/>
    <x v="18"/>
    <n v="212"/>
    <n v="9"/>
    <x v="1"/>
    <n v="4.2452830188679247"/>
  </r>
  <r>
    <x v="125"/>
    <s v="C"/>
    <x v="19"/>
    <n v="518"/>
    <n v="34"/>
    <x v="19"/>
    <n v="6.563706563706563"/>
  </r>
  <r>
    <x v="126"/>
    <s v="B"/>
    <x v="7"/>
    <n v="749"/>
    <n v="26"/>
    <x v="2"/>
    <n v="3.4712950600801067"/>
  </r>
  <r>
    <x v="115"/>
    <s v="A"/>
    <x v="5"/>
    <n v="780"/>
    <n v="67"/>
    <x v="22"/>
    <n v="8.5897435897435894"/>
  </r>
  <r>
    <x v="127"/>
    <s v="C"/>
    <x v="18"/>
    <n v="533"/>
    <n v="51"/>
    <x v="2"/>
    <n v="9.568480300187618"/>
  </r>
  <r>
    <x v="128"/>
    <s v="C"/>
    <x v="11"/>
    <n v="787"/>
    <n v="36"/>
    <x v="29"/>
    <n v="4.5743329097839895"/>
  </r>
  <r>
    <x v="129"/>
    <s v="C"/>
    <x v="1"/>
    <n v="519"/>
    <n v="31"/>
    <x v="2"/>
    <n v="5.973025048169557"/>
  </r>
  <r>
    <x v="93"/>
    <s v="C"/>
    <x v="9"/>
    <n v="978"/>
    <n v="52"/>
    <x v="0"/>
    <n v="5.3169734151329244"/>
  </r>
  <r>
    <x v="130"/>
    <s v="B"/>
    <x v="11"/>
    <n v="997"/>
    <n v="54"/>
    <x v="25"/>
    <n v="5.4162487462387157"/>
  </r>
  <r>
    <x v="131"/>
    <s v="A"/>
    <x v="17"/>
    <n v="578"/>
    <n v="39"/>
    <x v="11"/>
    <n v="6.7474048442906582"/>
  </r>
  <r>
    <x v="132"/>
    <s v="B"/>
    <x v="0"/>
    <n v="800"/>
    <n v="53"/>
    <x v="1"/>
    <n v="6.625"/>
  </r>
  <r>
    <x v="133"/>
    <s v="A"/>
    <x v="12"/>
    <n v="495"/>
    <n v="23"/>
    <x v="6"/>
    <n v="4.6464646464646462"/>
  </r>
  <r>
    <x v="134"/>
    <s v="C"/>
    <x v="11"/>
    <n v="999"/>
    <n v="37"/>
    <x v="24"/>
    <n v="3.7037037037037033"/>
  </r>
  <r>
    <x v="135"/>
    <s v="A"/>
    <x v="7"/>
    <n v="222"/>
    <n v="9"/>
    <x v="24"/>
    <n v="4.0540540540540544"/>
  </r>
  <r>
    <x v="136"/>
    <s v="B"/>
    <x v="10"/>
    <n v="344"/>
    <n v="23"/>
    <x v="20"/>
    <n v="6.6860465116279064"/>
  </r>
  <r>
    <x v="44"/>
    <s v="A"/>
    <x v="16"/>
    <n v="815"/>
    <n v="21"/>
    <x v="29"/>
    <n v="2.5766871165644174"/>
  </r>
  <r>
    <x v="116"/>
    <s v="C"/>
    <x v="12"/>
    <n v="397"/>
    <n v="32"/>
    <x v="13"/>
    <n v="8.0604534005037785"/>
  </r>
  <r>
    <x v="109"/>
    <s v="B"/>
    <x v="18"/>
    <n v="753"/>
    <n v="17"/>
    <x v="0"/>
    <n v="2.2576361221779551"/>
  </r>
  <r>
    <x v="137"/>
    <s v="C"/>
    <x v="16"/>
    <n v="868"/>
    <n v="44"/>
    <x v="10"/>
    <n v="5.0691244239631335"/>
  </r>
  <r>
    <x v="138"/>
    <s v="B"/>
    <x v="4"/>
    <n v="619"/>
    <n v="56"/>
    <x v="20"/>
    <n v="9.0468497576736659"/>
  </r>
  <r>
    <x v="139"/>
    <s v="C"/>
    <x v="10"/>
    <n v="610"/>
    <n v="27"/>
    <x v="12"/>
    <n v="4.4262295081967213"/>
  </r>
  <r>
    <x v="140"/>
    <s v="C"/>
    <x v="5"/>
    <n v="797"/>
    <n v="47"/>
    <x v="10"/>
    <n v="5.8971141781681311"/>
  </r>
  <r>
    <x v="141"/>
    <s v="B"/>
    <x v="4"/>
    <n v="317"/>
    <n v="16"/>
    <x v="19"/>
    <n v="5.0473186119873814"/>
  </r>
  <r>
    <x v="142"/>
    <s v="C"/>
    <x v="6"/>
    <n v="427"/>
    <n v="19"/>
    <x v="28"/>
    <n v="4.4496487119437944"/>
  </r>
  <r>
    <x v="143"/>
    <s v="A"/>
    <x v="6"/>
    <n v="214"/>
    <n v="11"/>
    <x v="25"/>
    <n v="5.1401869158878499"/>
  </r>
  <r>
    <x v="144"/>
    <s v="C"/>
    <x v="7"/>
    <n v="246"/>
    <n v="11"/>
    <x v="13"/>
    <n v="4.4715447154471546"/>
  </r>
  <r>
    <x v="145"/>
    <s v="C"/>
    <x v="19"/>
    <n v="610"/>
    <n v="37"/>
    <x v="24"/>
    <n v="6.0655737704918034"/>
  </r>
  <r>
    <x v="146"/>
    <s v="C"/>
    <x v="5"/>
    <n v="491"/>
    <n v="31"/>
    <x v="10"/>
    <n v="6.313645621181263"/>
  </r>
  <r>
    <x v="35"/>
    <s v="C"/>
    <x v="5"/>
    <n v="859"/>
    <n v="24"/>
    <x v="11"/>
    <n v="2.7939464493597206"/>
  </r>
  <r>
    <x v="147"/>
    <s v="C"/>
    <x v="6"/>
    <n v="749"/>
    <n v="18"/>
    <x v="29"/>
    <n v="2.4032042723631508"/>
  </r>
  <r>
    <x v="117"/>
    <s v="A"/>
    <x v="4"/>
    <n v="545"/>
    <n v="32"/>
    <x v="21"/>
    <n v="5.8715596330275233"/>
  </r>
  <r>
    <x v="148"/>
    <s v="B"/>
    <x v="0"/>
    <n v="340"/>
    <n v="5"/>
    <x v="5"/>
    <n v="1.4705882352941175"/>
  </r>
  <r>
    <x v="110"/>
    <s v="B"/>
    <x v="5"/>
    <n v="822"/>
    <n v="52"/>
    <x v="27"/>
    <n v="6.3260340632603409"/>
  </r>
  <r>
    <x v="149"/>
    <s v="A"/>
    <x v="17"/>
    <n v="555"/>
    <n v="48"/>
    <x v="0"/>
    <n v="8.6486486486486491"/>
  </r>
  <r>
    <x v="73"/>
    <s v="C"/>
    <x v="5"/>
    <n v="326"/>
    <n v="7"/>
    <x v="17"/>
    <n v="2.147239263803681"/>
  </r>
  <r>
    <x v="55"/>
    <s v="B"/>
    <x v="14"/>
    <n v="577"/>
    <n v="6"/>
    <x v="15"/>
    <n v="1.0398613518197575"/>
  </r>
  <r>
    <x v="11"/>
    <s v="C"/>
    <x v="16"/>
    <n v="661"/>
    <n v="62"/>
    <x v="21"/>
    <n v="9.379727685325264"/>
  </r>
  <r>
    <x v="150"/>
    <s v="A"/>
    <x v="19"/>
    <n v="606"/>
    <n v="9"/>
    <x v="18"/>
    <n v="1.4851485148514851"/>
  </r>
  <r>
    <x v="151"/>
    <s v="A"/>
    <x v="8"/>
    <n v="545"/>
    <n v="29"/>
    <x v="25"/>
    <n v="5.3211009174311927"/>
  </r>
  <r>
    <x v="152"/>
    <s v="B"/>
    <x v="2"/>
    <n v="200"/>
    <n v="14"/>
    <x v="0"/>
    <n v="7.0000000000000009"/>
  </r>
  <r>
    <x v="153"/>
    <s v="B"/>
    <x v="18"/>
    <n v="860"/>
    <n v="36"/>
    <x v="29"/>
    <n v="4.1860465116279073"/>
  </r>
  <r>
    <x v="109"/>
    <s v="C"/>
    <x v="13"/>
    <n v="401"/>
    <n v="18"/>
    <x v="20"/>
    <n v="4.4887780548628431"/>
  </r>
  <r>
    <x v="38"/>
    <s v="C"/>
    <x v="11"/>
    <n v="774"/>
    <n v="36"/>
    <x v="6"/>
    <n v="4.6511627906976747"/>
  </r>
  <r>
    <x v="154"/>
    <s v="B"/>
    <x v="5"/>
    <n v="585"/>
    <n v="24"/>
    <x v="19"/>
    <n v="4.1025641025641022"/>
  </r>
  <r>
    <x v="155"/>
    <s v="A"/>
    <x v="16"/>
    <n v="546"/>
    <n v="18"/>
    <x v="21"/>
    <n v="3.296703296703297"/>
  </r>
  <r>
    <x v="156"/>
    <s v="C"/>
    <x v="15"/>
    <n v="962"/>
    <n v="15"/>
    <x v="6"/>
    <n v="1.5592515592515594"/>
  </r>
  <r>
    <x v="157"/>
    <s v="C"/>
    <x v="5"/>
    <n v="379"/>
    <n v="18"/>
    <x v="2"/>
    <n v="4.7493403693931393"/>
  </r>
  <r>
    <x v="158"/>
    <s v="B"/>
    <x v="4"/>
    <n v="376"/>
    <n v="21"/>
    <x v="27"/>
    <n v="5.5851063829787231"/>
  </r>
  <r>
    <x v="159"/>
    <s v="B"/>
    <x v="4"/>
    <n v="865"/>
    <n v="10"/>
    <x v="20"/>
    <n v="1.1560693641618496"/>
  </r>
  <r>
    <x v="160"/>
    <s v="C"/>
    <x v="14"/>
    <n v="283"/>
    <n v="12"/>
    <x v="28"/>
    <n v="4.2402826855123674"/>
  </r>
  <r>
    <x v="161"/>
    <s v="C"/>
    <x v="3"/>
    <n v="541"/>
    <n v="11"/>
    <x v="0"/>
    <n v="2.033271719038817"/>
  </r>
  <r>
    <x v="162"/>
    <s v="A"/>
    <x v="6"/>
    <n v="760"/>
    <n v="20"/>
    <x v="9"/>
    <n v="2.6315789473684208"/>
  </r>
  <r>
    <x v="77"/>
    <s v="A"/>
    <x v="3"/>
    <n v="414"/>
    <n v="19"/>
    <x v="24"/>
    <n v="4.5893719806763285"/>
  </r>
  <r>
    <x v="163"/>
    <s v="B"/>
    <x v="9"/>
    <n v="517"/>
    <n v="10"/>
    <x v="14"/>
    <n v="1.9342359767891684"/>
  </r>
  <r>
    <x v="164"/>
    <s v="C"/>
    <x v="4"/>
    <n v="628"/>
    <n v="27"/>
    <x v="10"/>
    <n v="4.2993630573248405"/>
  </r>
  <r>
    <x v="165"/>
    <s v="B"/>
    <x v="10"/>
    <n v="218"/>
    <n v="3"/>
    <x v="12"/>
    <n v="1.3761467889908259"/>
  </r>
  <r>
    <x v="166"/>
    <s v="C"/>
    <x v="12"/>
    <n v="374"/>
    <n v="17"/>
    <x v="28"/>
    <n v="4.5454545454545459"/>
  </r>
  <r>
    <x v="154"/>
    <s v="C"/>
    <x v="18"/>
    <n v="312"/>
    <n v="12"/>
    <x v="18"/>
    <n v="3.8461538461538463"/>
  </r>
  <r>
    <x v="167"/>
    <s v="B"/>
    <x v="5"/>
    <n v="843"/>
    <n v="23"/>
    <x v="8"/>
    <n v="2.7283511269276395"/>
  </r>
  <r>
    <x v="120"/>
    <s v="B"/>
    <x v="13"/>
    <n v="842"/>
    <n v="26"/>
    <x v="16"/>
    <n v="3.0878859857482186"/>
  </r>
  <r>
    <x v="16"/>
    <s v="A"/>
    <x v="11"/>
    <n v="361"/>
    <n v="9"/>
    <x v="3"/>
    <n v="2.4930747922437675"/>
  </r>
  <r>
    <x v="168"/>
    <s v="A"/>
    <x v="4"/>
    <n v="675"/>
    <n v="56"/>
    <x v="16"/>
    <n v="8.2962962962962958"/>
  </r>
  <r>
    <x v="169"/>
    <s v="A"/>
    <x v="11"/>
    <n v="207"/>
    <n v="2"/>
    <x v="1"/>
    <n v="0.96618357487922701"/>
  </r>
  <r>
    <x v="170"/>
    <s v="C"/>
    <x v="16"/>
    <n v="642"/>
    <n v="30"/>
    <x v="7"/>
    <n v="4.6728971962616823"/>
  </r>
  <r>
    <x v="98"/>
    <s v="A"/>
    <x v="10"/>
    <n v="960"/>
    <n v="51"/>
    <x v="28"/>
    <n v="5.3125"/>
  </r>
  <r>
    <x v="171"/>
    <s v="A"/>
    <x v="19"/>
    <n v="808"/>
    <n v="44"/>
    <x v="21"/>
    <n v="5.4455445544554459"/>
  </r>
  <r>
    <x v="172"/>
    <s v="C"/>
    <x v="1"/>
    <n v="295"/>
    <n v="24"/>
    <x v="3"/>
    <n v="8.1355932203389827"/>
  </r>
  <r>
    <x v="173"/>
    <s v="C"/>
    <x v="4"/>
    <n v="690"/>
    <n v="67"/>
    <x v="18"/>
    <n v="9.7101449275362324"/>
  </r>
  <r>
    <x v="174"/>
    <s v="B"/>
    <x v="17"/>
    <n v="381"/>
    <n v="8"/>
    <x v="24"/>
    <n v="2.0997375328083989"/>
  </r>
  <r>
    <x v="175"/>
    <s v="B"/>
    <x v="4"/>
    <n v="206"/>
    <n v="12"/>
    <x v="8"/>
    <n v="5.825242718446602"/>
  </r>
  <r>
    <x v="135"/>
    <s v="A"/>
    <x v="17"/>
    <n v="284"/>
    <n v="2"/>
    <x v="19"/>
    <n v="0.70422535211267612"/>
  </r>
  <r>
    <x v="176"/>
    <s v="C"/>
    <x v="14"/>
    <n v="747"/>
    <n v="46"/>
    <x v="15"/>
    <n v="6.1579651941097726"/>
  </r>
  <r>
    <x v="177"/>
    <s v="A"/>
    <x v="10"/>
    <n v="908"/>
    <n v="26"/>
    <x v="27"/>
    <n v="2.8634361233480177"/>
  </r>
  <r>
    <x v="23"/>
    <s v="B"/>
    <x v="2"/>
    <n v="585"/>
    <n v="14"/>
    <x v="24"/>
    <n v="2.3931623931623935"/>
  </r>
  <r>
    <x v="178"/>
    <s v="C"/>
    <x v="1"/>
    <n v="731"/>
    <n v="37"/>
    <x v="0"/>
    <n v="5.0615595075239401"/>
  </r>
  <r>
    <x v="173"/>
    <s v="B"/>
    <x v="7"/>
    <n v="933"/>
    <n v="40"/>
    <x v="3"/>
    <n v="4.287245444801715"/>
  </r>
  <r>
    <x v="123"/>
    <s v="B"/>
    <x v="6"/>
    <n v="699"/>
    <n v="63"/>
    <x v="20"/>
    <n v="9.0128755364806867"/>
  </r>
  <r>
    <x v="179"/>
    <s v="C"/>
    <x v="8"/>
    <n v="792"/>
    <n v="55"/>
    <x v="8"/>
    <n v="6.9444444444444446"/>
  </r>
  <r>
    <x v="63"/>
    <s v="C"/>
    <x v="5"/>
    <n v="926"/>
    <n v="58"/>
    <x v="8"/>
    <n v="6.2634989200863922"/>
  </r>
  <r>
    <x v="143"/>
    <s v="B"/>
    <x v="2"/>
    <n v="314"/>
    <n v="16"/>
    <x v="4"/>
    <n v="5.095541401273886"/>
  </r>
  <r>
    <x v="173"/>
    <s v="B"/>
    <x v="4"/>
    <n v="436"/>
    <n v="13"/>
    <x v="14"/>
    <n v="2.9816513761467891"/>
  </r>
  <r>
    <x v="65"/>
    <s v="B"/>
    <x v="1"/>
    <n v="477"/>
    <n v="42"/>
    <x v="10"/>
    <n v="8.8050314465408803"/>
  </r>
  <r>
    <x v="180"/>
    <s v="C"/>
    <x v="3"/>
    <n v="641"/>
    <n v="52"/>
    <x v="13"/>
    <n v="8.1123244929797202"/>
  </r>
  <r>
    <x v="181"/>
    <s v="B"/>
    <x v="9"/>
    <n v="274"/>
    <n v="18"/>
    <x v="3"/>
    <n v="6.5693430656934311"/>
  </r>
  <r>
    <x v="67"/>
    <s v="C"/>
    <x v="12"/>
    <n v="241"/>
    <n v="10"/>
    <x v="21"/>
    <n v="4.1493775933609953"/>
  </r>
  <r>
    <x v="154"/>
    <s v="C"/>
    <x v="13"/>
    <n v="216"/>
    <n v="8"/>
    <x v="26"/>
    <n v="3.7037037037037033"/>
  </r>
  <r>
    <x v="155"/>
    <s v="A"/>
    <x v="13"/>
    <n v="787"/>
    <n v="13"/>
    <x v="25"/>
    <n v="1.6518424396442184"/>
  </r>
  <r>
    <x v="182"/>
    <s v="C"/>
    <x v="0"/>
    <n v="226"/>
    <n v="20"/>
    <x v="11"/>
    <n v="8.8495575221238933"/>
  </r>
  <r>
    <x v="183"/>
    <s v="A"/>
    <x v="8"/>
    <n v="367"/>
    <n v="10"/>
    <x v="5"/>
    <n v="2.7247956403269753"/>
  </r>
  <r>
    <x v="184"/>
    <s v="B"/>
    <x v="15"/>
    <n v="654"/>
    <n v="39"/>
    <x v="19"/>
    <n v="5.9633027522935782"/>
  </r>
  <r>
    <x v="86"/>
    <s v="B"/>
    <x v="16"/>
    <n v="675"/>
    <n v="41"/>
    <x v="14"/>
    <n v="6.0740740740740744"/>
  </r>
  <r>
    <x v="120"/>
    <s v="C"/>
    <x v="3"/>
    <n v="329"/>
    <n v="8"/>
    <x v="0"/>
    <n v="2.43161094224924"/>
  </r>
  <r>
    <x v="72"/>
    <s v="B"/>
    <x v="17"/>
    <n v="892"/>
    <n v="39"/>
    <x v="1"/>
    <n v="4.3721973094170403"/>
  </r>
  <r>
    <x v="169"/>
    <s v="C"/>
    <x v="15"/>
    <n v="348"/>
    <n v="22"/>
    <x v="18"/>
    <n v="6.3218390804597711"/>
  </r>
  <r>
    <x v="162"/>
    <s v="C"/>
    <x v="19"/>
    <n v="875"/>
    <n v="46"/>
    <x v="4"/>
    <n v="5.2571428571428571"/>
  </r>
  <r>
    <x v="185"/>
    <s v="A"/>
    <x v="14"/>
    <n v="426"/>
    <n v="30"/>
    <x v="15"/>
    <n v="7.042253521126761"/>
  </r>
  <r>
    <x v="186"/>
    <s v="B"/>
    <x v="17"/>
    <n v="863"/>
    <n v="74"/>
    <x v="18"/>
    <n v="8.5747392815758978"/>
  </r>
  <r>
    <x v="187"/>
    <s v="C"/>
    <x v="10"/>
    <n v="488"/>
    <n v="14"/>
    <x v="20"/>
    <n v="2.8688524590163933"/>
  </r>
  <r>
    <x v="188"/>
    <s v="C"/>
    <x v="14"/>
    <n v="666"/>
    <n v="25"/>
    <x v="12"/>
    <n v="3.7537537537537538"/>
  </r>
  <r>
    <x v="189"/>
    <s v="A"/>
    <x v="18"/>
    <n v="706"/>
    <n v="32"/>
    <x v="18"/>
    <n v="4.5325779036827196"/>
  </r>
  <r>
    <x v="190"/>
    <s v="A"/>
    <x v="12"/>
    <n v="353"/>
    <n v="13"/>
    <x v="2"/>
    <n v="3.6827195467422094"/>
  </r>
  <r>
    <x v="191"/>
    <s v="B"/>
    <x v="1"/>
    <n v="495"/>
    <n v="30"/>
    <x v="15"/>
    <n v="6.0606060606060606"/>
  </r>
  <r>
    <x v="192"/>
    <s v="C"/>
    <x v="17"/>
    <n v="815"/>
    <n v="27"/>
    <x v="20"/>
    <n v="3.3128834355828225"/>
  </r>
  <r>
    <x v="193"/>
    <s v="B"/>
    <x v="0"/>
    <n v="330"/>
    <n v="3"/>
    <x v="3"/>
    <n v="0.90909090909090906"/>
  </r>
  <r>
    <x v="194"/>
    <s v="A"/>
    <x v="13"/>
    <n v="634"/>
    <n v="19"/>
    <x v="17"/>
    <n v="2.9968454258675079"/>
  </r>
  <r>
    <x v="195"/>
    <s v="B"/>
    <x v="9"/>
    <n v="474"/>
    <n v="17"/>
    <x v="15"/>
    <n v="3.5864978902953584"/>
  </r>
  <r>
    <x v="34"/>
    <s v="C"/>
    <x v="7"/>
    <n v="216"/>
    <n v="15"/>
    <x v="6"/>
    <n v="6.9444444444444446"/>
  </r>
  <r>
    <x v="196"/>
    <s v="A"/>
    <x v="4"/>
    <n v="211"/>
    <n v="12"/>
    <x v="1"/>
    <n v="5.6872037914691944"/>
  </r>
  <r>
    <x v="197"/>
    <s v="B"/>
    <x v="4"/>
    <n v="975"/>
    <n v="61"/>
    <x v="28"/>
    <n v="6.2564102564102564"/>
  </r>
  <r>
    <x v="112"/>
    <s v="B"/>
    <x v="14"/>
    <n v="684"/>
    <n v="48"/>
    <x v="3"/>
    <n v="7.0175438596491224"/>
  </r>
  <r>
    <x v="198"/>
    <s v="A"/>
    <x v="9"/>
    <n v="736"/>
    <n v="58"/>
    <x v="11"/>
    <n v="7.8804347826086962"/>
  </r>
  <r>
    <x v="199"/>
    <s v="C"/>
    <x v="10"/>
    <n v="770"/>
    <n v="77"/>
    <x v="21"/>
    <n v="10"/>
  </r>
  <r>
    <x v="200"/>
    <s v="B"/>
    <x v="10"/>
    <n v="246"/>
    <n v="3"/>
    <x v="6"/>
    <n v="1.2195121951219512"/>
  </r>
  <r>
    <x v="201"/>
    <s v="A"/>
    <x v="4"/>
    <n v="600"/>
    <n v="14"/>
    <x v="27"/>
    <n v="2.3333333333333335"/>
  </r>
  <r>
    <x v="202"/>
    <s v="B"/>
    <x v="18"/>
    <n v="449"/>
    <n v="11"/>
    <x v="15"/>
    <n v="2.4498886414253898"/>
  </r>
  <r>
    <x v="203"/>
    <s v="C"/>
    <x v="3"/>
    <n v="718"/>
    <n v="27"/>
    <x v="12"/>
    <n v="3.7604456824512535"/>
  </r>
  <r>
    <x v="182"/>
    <s v="B"/>
    <x v="5"/>
    <n v="697"/>
    <n v="32"/>
    <x v="17"/>
    <n v="4.5911047345767582"/>
  </r>
  <r>
    <x v="53"/>
    <s v="B"/>
    <x v="2"/>
    <n v="422"/>
    <n v="35"/>
    <x v="26"/>
    <n v="8.293838862559241"/>
  </r>
  <r>
    <x v="34"/>
    <s v="B"/>
    <x v="11"/>
    <n v="601"/>
    <n v="30"/>
    <x v="19"/>
    <n v="4.9916805324459235"/>
  </r>
  <r>
    <x v="204"/>
    <s v="C"/>
    <x v="7"/>
    <n v="725"/>
    <n v="31"/>
    <x v="22"/>
    <n v="4.2758620689655169"/>
  </r>
  <r>
    <x v="205"/>
    <s v="B"/>
    <x v="7"/>
    <n v="387"/>
    <n v="20"/>
    <x v="21"/>
    <n v="5.1679586563307494"/>
  </r>
  <r>
    <x v="206"/>
    <s v="B"/>
    <x v="3"/>
    <n v="370"/>
    <n v="14"/>
    <x v="2"/>
    <n v="3.7837837837837842"/>
  </r>
  <r>
    <x v="207"/>
    <s v="A"/>
    <x v="7"/>
    <n v="563"/>
    <n v="33"/>
    <x v="21"/>
    <n v="5.8614564831261102"/>
  </r>
  <r>
    <x v="150"/>
    <s v="B"/>
    <x v="14"/>
    <n v="715"/>
    <n v="41"/>
    <x v="14"/>
    <n v="5.7342657342657342"/>
  </r>
  <r>
    <x v="208"/>
    <s v="C"/>
    <x v="9"/>
    <n v="921"/>
    <n v="40"/>
    <x v="19"/>
    <n v="4.3431053203040175"/>
  </r>
  <r>
    <x v="85"/>
    <s v="C"/>
    <x v="3"/>
    <n v="307"/>
    <n v="5"/>
    <x v="4"/>
    <n v="1.6286644951140066"/>
  </r>
  <r>
    <x v="209"/>
    <s v="C"/>
    <x v="2"/>
    <n v="369"/>
    <n v="20"/>
    <x v="8"/>
    <n v="5.4200542005420056"/>
  </r>
  <r>
    <x v="153"/>
    <s v="A"/>
    <x v="19"/>
    <n v="980"/>
    <n v="58"/>
    <x v="24"/>
    <n v="5.9183673469387754"/>
  </r>
  <r>
    <x v="210"/>
    <s v="B"/>
    <x v="15"/>
    <n v="938"/>
    <n v="9"/>
    <x v="6"/>
    <n v="0.95948827292110883"/>
  </r>
  <r>
    <x v="211"/>
    <s v="B"/>
    <x v="13"/>
    <n v="228"/>
    <n v="13"/>
    <x v="14"/>
    <n v="5.7017543859649118"/>
  </r>
  <r>
    <x v="212"/>
    <s v="A"/>
    <x v="8"/>
    <n v="444"/>
    <n v="20"/>
    <x v="29"/>
    <n v="4.5045045045045047"/>
  </r>
  <r>
    <x v="213"/>
    <s v="C"/>
    <x v="15"/>
    <n v="947"/>
    <n v="86"/>
    <x v="25"/>
    <n v="9.0813093980992612"/>
  </r>
  <r>
    <x v="214"/>
    <s v="B"/>
    <x v="1"/>
    <n v="558"/>
    <n v="29"/>
    <x v="26"/>
    <n v="5.1971326164874547"/>
  </r>
  <r>
    <x v="196"/>
    <s v="B"/>
    <x v="10"/>
    <n v="888"/>
    <n v="14"/>
    <x v="24"/>
    <n v="1.5765765765765765"/>
  </r>
  <r>
    <x v="53"/>
    <s v="C"/>
    <x v="14"/>
    <n v="869"/>
    <n v="68"/>
    <x v="0"/>
    <n v="7.8250863060989646"/>
  </r>
  <r>
    <x v="215"/>
    <s v="B"/>
    <x v="17"/>
    <n v="492"/>
    <n v="4"/>
    <x v="8"/>
    <n v="0.81300813008130091"/>
  </r>
  <r>
    <x v="216"/>
    <s v="A"/>
    <x v="0"/>
    <n v="784"/>
    <n v="12"/>
    <x v="24"/>
    <n v="1.5306122448979591"/>
  </r>
  <r>
    <x v="65"/>
    <s v="C"/>
    <x v="2"/>
    <n v="339"/>
    <n v="30"/>
    <x v="12"/>
    <n v="8.8495575221238933"/>
  </r>
  <r>
    <x v="217"/>
    <s v="B"/>
    <x v="16"/>
    <n v="579"/>
    <n v="27"/>
    <x v="10"/>
    <n v="4.6632124352331603"/>
  </r>
  <r>
    <x v="218"/>
    <s v="B"/>
    <x v="13"/>
    <n v="501"/>
    <n v="32"/>
    <x v="5"/>
    <n v="6.3872255489021947"/>
  </r>
  <r>
    <x v="219"/>
    <s v="A"/>
    <x v="12"/>
    <n v="425"/>
    <n v="11"/>
    <x v="13"/>
    <n v="2.5882352941176472"/>
  </r>
  <r>
    <x v="220"/>
    <s v="C"/>
    <x v="17"/>
    <n v="770"/>
    <n v="35"/>
    <x v="10"/>
    <n v="4.5454545454545459"/>
  </r>
  <r>
    <x v="221"/>
    <s v="A"/>
    <x v="12"/>
    <n v="509"/>
    <n v="26"/>
    <x v="25"/>
    <n v="5.1080550098231825"/>
  </r>
  <r>
    <x v="142"/>
    <s v="C"/>
    <x v="9"/>
    <n v="529"/>
    <n v="6"/>
    <x v="2"/>
    <n v="1.1342155009451798"/>
  </r>
  <r>
    <x v="222"/>
    <s v="B"/>
    <x v="9"/>
    <n v="952"/>
    <n v="87"/>
    <x v="13"/>
    <n v="9.1386554621848735"/>
  </r>
  <r>
    <x v="171"/>
    <s v="B"/>
    <x v="5"/>
    <n v="716"/>
    <n v="12"/>
    <x v="24"/>
    <n v="1.6759776536312849"/>
  </r>
  <r>
    <x v="119"/>
    <s v="B"/>
    <x v="8"/>
    <n v="888"/>
    <n v="43"/>
    <x v="18"/>
    <n v="4.8423423423423424"/>
  </r>
  <r>
    <x v="223"/>
    <s v="B"/>
    <x v="1"/>
    <n v="952"/>
    <n v="19"/>
    <x v="6"/>
    <n v="1.9957983193277309"/>
  </r>
  <r>
    <x v="224"/>
    <s v="B"/>
    <x v="18"/>
    <n v="889"/>
    <n v="51"/>
    <x v="27"/>
    <n v="5.7367829021372332"/>
  </r>
  <r>
    <x v="17"/>
    <s v="B"/>
    <x v="14"/>
    <n v="202"/>
    <n v="11"/>
    <x v="0"/>
    <n v="5.4455445544554459"/>
  </r>
  <r>
    <x v="225"/>
    <s v="C"/>
    <x v="8"/>
    <n v="319"/>
    <n v="14"/>
    <x v="3"/>
    <n v="4.3887147335423196"/>
  </r>
  <r>
    <x v="226"/>
    <s v="C"/>
    <x v="4"/>
    <n v="779"/>
    <n v="29"/>
    <x v="22"/>
    <n v="3.7227214377406934"/>
  </r>
  <r>
    <x v="227"/>
    <s v="B"/>
    <x v="1"/>
    <n v="816"/>
    <n v="26"/>
    <x v="2"/>
    <n v="3.1862745098039214"/>
  </r>
  <r>
    <x v="228"/>
    <s v="A"/>
    <x v="18"/>
    <n v="740"/>
    <n v="68"/>
    <x v="9"/>
    <n v="9.1891891891891895"/>
  </r>
  <r>
    <x v="229"/>
    <s v="B"/>
    <x v="1"/>
    <n v="531"/>
    <n v="5"/>
    <x v="22"/>
    <n v="0.94161958568738224"/>
  </r>
  <r>
    <x v="159"/>
    <s v="B"/>
    <x v="9"/>
    <n v="736"/>
    <n v="26"/>
    <x v="20"/>
    <n v="3.5326086956521738"/>
  </r>
  <r>
    <x v="230"/>
    <s v="B"/>
    <x v="15"/>
    <n v="323"/>
    <n v="9"/>
    <x v="18"/>
    <n v="2.7863777089783279"/>
  </r>
  <r>
    <x v="179"/>
    <s v="A"/>
    <x v="5"/>
    <n v="375"/>
    <n v="12"/>
    <x v="22"/>
    <n v="3.2"/>
  </r>
  <r>
    <x v="231"/>
    <s v="B"/>
    <x v="4"/>
    <n v="515"/>
    <n v="11"/>
    <x v="19"/>
    <n v="2.1359223300970873"/>
  </r>
  <r>
    <x v="232"/>
    <s v="C"/>
    <x v="6"/>
    <n v="792"/>
    <n v="13"/>
    <x v="15"/>
    <n v="1.6414141414141417"/>
  </r>
  <r>
    <x v="233"/>
    <s v="A"/>
    <x v="7"/>
    <n v="517"/>
    <n v="31"/>
    <x v="8"/>
    <n v="5.9961315280464218"/>
  </r>
  <r>
    <x v="218"/>
    <s v="B"/>
    <x v="13"/>
    <n v="767"/>
    <n v="44"/>
    <x v="16"/>
    <n v="5.7366362451108213"/>
  </r>
  <r>
    <x v="234"/>
    <s v="C"/>
    <x v="16"/>
    <n v="948"/>
    <n v="58"/>
    <x v="19"/>
    <n v="6.1181434599156121"/>
  </r>
  <r>
    <x v="235"/>
    <s v="C"/>
    <x v="2"/>
    <n v="535"/>
    <n v="36"/>
    <x v="3"/>
    <n v="6.7289719626168223"/>
  </r>
  <r>
    <x v="177"/>
    <s v="B"/>
    <x v="0"/>
    <n v="770"/>
    <n v="14"/>
    <x v="28"/>
    <n v="1.8181818181818181"/>
  </r>
  <r>
    <x v="153"/>
    <s v="A"/>
    <x v="0"/>
    <n v="756"/>
    <n v="49"/>
    <x v="0"/>
    <n v="6.481481481481481"/>
  </r>
  <r>
    <x v="119"/>
    <s v="A"/>
    <x v="1"/>
    <n v="390"/>
    <n v="18"/>
    <x v="21"/>
    <n v="4.6153846153846159"/>
  </r>
  <r>
    <x v="236"/>
    <s v="C"/>
    <x v="12"/>
    <n v="332"/>
    <n v="29"/>
    <x v="3"/>
    <n v="8.7349397590361448"/>
  </r>
  <r>
    <x v="85"/>
    <s v="C"/>
    <x v="1"/>
    <n v="230"/>
    <n v="12"/>
    <x v="18"/>
    <n v="5.2173913043478262"/>
  </r>
  <r>
    <x v="237"/>
    <s v="C"/>
    <x v="9"/>
    <n v="562"/>
    <n v="18"/>
    <x v="6"/>
    <n v="3.2028469750889679"/>
  </r>
  <r>
    <x v="238"/>
    <s v="A"/>
    <x v="12"/>
    <n v="281"/>
    <n v="22"/>
    <x v="27"/>
    <n v="7.8291814946619214"/>
  </r>
  <r>
    <x v="84"/>
    <s v="A"/>
    <x v="9"/>
    <n v="723"/>
    <n v="6"/>
    <x v="14"/>
    <n v="0.82987551867219922"/>
  </r>
  <r>
    <x v="239"/>
    <s v="A"/>
    <x v="0"/>
    <n v="245"/>
    <n v="8"/>
    <x v="22"/>
    <n v="3.2653061224489797"/>
  </r>
  <r>
    <x v="26"/>
    <s v="B"/>
    <x v="13"/>
    <n v="559"/>
    <n v="17"/>
    <x v="25"/>
    <n v="3.0411449016100178"/>
  </r>
  <r>
    <x v="240"/>
    <s v="B"/>
    <x v="14"/>
    <n v="564"/>
    <n v="27"/>
    <x v="1"/>
    <n v="4.7872340425531918"/>
  </r>
  <r>
    <x v="127"/>
    <s v="A"/>
    <x v="14"/>
    <n v="613"/>
    <n v="6"/>
    <x v="20"/>
    <n v="0.97879282218597052"/>
  </r>
  <r>
    <x v="25"/>
    <s v="C"/>
    <x v="1"/>
    <n v="611"/>
    <n v="41"/>
    <x v="2"/>
    <n v="6.7103109656301143"/>
  </r>
  <r>
    <x v="241"/>
    <s v="C"/>
    <x v="17"/>
    <n v="477"/>
    <n v="40"/>
    <x v="1"/>
    <n v="8.3857442348008391"/>
  </r>
  <r>
    <x v="103"/>
    <s v="C"/>
    <x v="9"/>
    <n v="441"/>
    <n v="26"/>
    <x v="26"/>
    <n v="5.895691609977324"/>
  </r>
  <r>
    <x v="111"/>
    <s v="B"/>
    <x v="9"/>
    <n v="723"/>
    <n v="11"/>
    <x v="26"/>
    <n v="1.5214384508990317"/>
  </r>
  <r>
    <x v="242"/>
    <s v="C"/>
    <x v="3"/>
    <n v="904"/>
    <n v="9"/>
    <x v="8"/>
    <n v="0.99557522123893805"/>
  </r>
  <r>
    <x v="191"/>
    <s v="C"/>
    <x v="5"/>
    <n v="409"/>
    <n v="37"/>
    <x v="17"/>
    <n v="9.0464547677261606"/>
  </r>
  <r>
    <x v="150"/>
    <s v="A"/>
    <x v="4"/>
    <n v="484"/>
    <n v="21"/>
    <x v="14"/>
    <n v="4.338842975206612"/>
  </r>
  <r>
    <x v="113"/>
    <s v="A"/>
    <x v="3"/>
    <n v="580"/>
    <n v="15"/>
    <x v="20"/>
    <n v="2.5862068965517242"/>
  </r>
  <r>
    <x v="243"/>
    <s v="B"/>
    <x v="19"/>
    <n v="232"/>
    <n v="7"/>
    <x v="1"/>
    <n v="3.0172413793103448"/>
  </r>
  <r>
    <x v="27"/>
    <s v="B"/>
    <x v="10"/>
    <n v="658"/>
    <n v="36"/>
    <x v="23"/>
    <n v="5.4711246200607899"/>
  </r>
  <r>
    <x v="244"/>
    <s v="C"/>
    <x v="6"/>
    <n v="629"/>
    <n v="34"/>
    <x v="18"/>
    <n v="5.4054054054054053"/>
  </r>
  <r>
    <x v="245"/>
    <s v="C"/>
    <x v="6"/>
    <n v="298"/>
    <n v="9"/>
    <x v="1"/>
    <n v="3.0201342281879198"/>
  </r>
  <r>
    <x v="29"/>
    <s v="C"/>
    <x v="10"/>
    <n v="996"/>
    <n v="48"/>
    <x v="12"/>
    <n v="4.8192771084337354"/>
  </r>
  <r>
    <x v="246"/>
    <s v="A"/>
    <x v="7"/>
    <n v="329"/>
    <n v="17"/>
    <x v="1"/>
    <n v="5.1671732522796354"/>
  </r>
  <r>
    <x v="247"/>
    <s v="A"/>
    <x v="8"/>
    <n v="658"/>
    <n v="24"/>
    <x v="8"/>
    <n v="3.6474164133738598"/>
  </r>
  <r>
    <x v="248"/>
    <s v="B"/>
    <x v="7"/>
    <n v="947"/>
    <n v="13"/>
    <x v="24"/>
    <n v="1.3727560718057021"/>
  </r>
  <r>
    <x v="249"/>
    <s v="C"/>
    <x v="14"/>
    <n v="502"/>
    <n v="21"/>
    <x v="18"/>
    <n v="4.1832669322709162"/>
  </r>
  <r>
    <x v="40"/>
    <s v="C"/>
    <x v="14"/>
    <n v="973"/>
    <n v="59"/>
    <x v="16"/>
    <n v="6.0637204522096608"/>
  </r>
  <r>
    <x v="250"/>
    <s v="A"/>
    <x v="1"/>
    <n v="706"/>
    <n v="33"/>
    <x v="19"/>
    <n v="4.6742209631728047"/>
  </r>
  <r>
    <x v="157"/>
    <s v="B"/>
    <x v="2"/>
    <n v="726"/>
    <n v="37"/>
    <x v="14"/>
    <n v="5.0964187327823689"/>
  </r>
  <r>
    <x v="251"/>
    <s v="A"/>
    <x v="9"/>
    <n v="992"/>
    <n v="61"/>
    <x v="9"/>
    <n v="6.149193548387097"/>
  </r>
  <r>
    <x v="252"/>
    <s v="C"/>
    <x v="11"/>
    <n v="691"/>
    <n v="38"/>
    <x v="3"/>
    <n v="5.4992764109985526"/>
  </r>
  <r>
    <x v="25"/>
    <s v="C"/>
    <x v="13"/>
    <n v="629"/>
    <n v="11"/>
    <x v="21"/>
    <n v="1.7488076311605723"/>
  </r>
  <r>
    <x v="197"/>
    <s v="A"/>
    <x v="19"/>
    <n v="719"/>
    <n v="55"/>
    <x v="14"/>
    <n v="7.649513212795549"/>
  </r>
  <r>
    <x v="253"/>
    <s v="B"/>
    <x v="6"/>
    <n v="398"/>
    <n v="16"/>
    <x v="23"/>
    <n v="4.0201005025125625"/>
  </r>
  <r>
    <x v="254"/>
    <s v="C"/>
    <x v="13"/>
    <n v="892"/>
    <n v="84"/>
    <x v="3"/>
    <n v="9.4170403587443943"/>
  </r>
  <r>
    <x v="220"/>
    <s v="C"/>
    <x v="11"/>
    <n v="757"/>
    <n v="22"/>
    <x v="16"/>
    <n v="2.9062087186261558"/>
  </r>
  <r>
    <x v="223"/>
    <s v="B"/>
    <x v="15"/>
    <n v="654"/>
    <n v="13"/>
    <x v="22"/>
    <n v="1.9877675840978593"/>
  </r>
  <r>
    <x v="255"/>
    <s v="B"/>
    <x v="12"/>
    <n v="939"/>
    <n v="38"/>
    <x v="8"/>
    <n v="4.046858359957402"/>
  </r>
  <r>
    <x v="122"/>
    <s v="A"/>
    <x v="4"/>
    <n v="925"/>
    <n v="40"/>
    <x v="24"/>
    <n v="4.3243243243243246"/>
  </r>
  <r>
    <x v="24"/>
    <s v="A"/>
    <x v="12"/>
    <n v="543"/>
    <n v="28"/>
    <x v="14"/>
    <n v="5.1565377532228363"/>
  </r>
  <r>
    <x v="256"/>
    <s v="A"/>
    <x v="8"/>
    <n v="920"/>
    <n v="7"/>
    <x v="23"/>
    <n v="0.76086956521739135"/>
  </r>
  <r>
    <x v="257"/>
    <s v="A"/>
    <x v="15"/>
    <n v="519"/>
    <n v="25"/>
    <x v="11"/>
    <n v="4.8169556840077075"/>
  </r>
  <r>
    <x v="258"/>
    <s v="A"/>
    <x v="17"/>
    <n v="365"/>
    <n v="12"/>
    <x v="25"/>
    <n v="3.2876712328767121"/>
  </r>
  <r>
    <x v="259"/>
    <s v="A"/>
    <x v="18"/>
    <n v="301"/>
    <n v="25"/>
    <x v="16"/>
    <n v="8.3056478405315612"/>
  </r>
  <r>
    <x v="181"/>
    <s v="B"/>
    <x v="14"/>
    <n v="890"/>
    <n v="13"/>
    <x v="10"/>
    <n v="1.4606741573033708"/>
  </r>
  <r>
    <x v="260"/>
    <s v="A"/>
    <x v="1"/>
    <n v="245"/>
    <n v="4"/>
    <x v="15"/>
    <n v="1.6326530612244898"/>
  </r>
  <r>
    <x v="69"/>
    <s v="A"/>
    <x v="16"/>
    <n v="285"/>
    <n v="6"/>
    <x v="10"/>
    <n v="2.1052631578947367"/>
  </r>
  <r>
    <x v="261"/>
    <s v="A"/>
    <x v="15"/>
    <n v="441"/>
    <n v="14"/>
    <x v="19"/>
    <n v="3.1746031746031744"/>
  </r>
  <r>
    <x v="14"/>
    <s v="A"/>
    <x v="11"/>
    <n v="944"/>
    <n v="23"/>
    <x v="21"/>
    <n v="2.4364406779661016"/>
  </r>
  <r>
    <x v="262"/>
    <s v="A"/>
    <x v="13"/>
    <n v="315"/>
    <n v="9"/>
    <x v="6"/>
    <n v="2.8571428571428572"/>
  </r>
  <r>
    <x v="119"/>
    <s v="A"/>
    <x v="1"/>
    <n v="365"/>
    <n v="20"/>
    <x v="10"/>
    <n v="5.4794520547945202"/>
  </r>
  <r>
    <x v="221"/>
    <s v="A"/>
    <x v="3"/>
    <n v="342"/>
    <n v="6"/>
    <x v="16"/>
    <n v="1.7543859649122806"/>
  </r>
  <r>
    <x v="193"/>
    <s v="A"/>
    <x v="15"/>
    <n v="504"/>
    <n v="29"/>
    <x v="10"/>
    <n v="5.753968253968254"/>
  </r>
  <r>
    <x v="202"/>
    <s v="C"/>
    <x v="15"/>
    <n v="834"/>
    <n v="12"/>
    <x v="14"/>
    <n v="1.4388489208633095"/>
  </r>
  <r>
    <x v="174"/>
    <s v="B"/>
    <x v="7"/>
    <n v="558"/>
    <n v="25"/>
    <x v="5"/>
    <n v="4.4802867383512543"/>
  </r>
  <r>
    <x v="263"/>
    <s v="C"/>
    <x v="4"/>
    <n v="915"/>
    <n v="73"/>
    <x v="9"/>
    <n v="7.9781420765027322"/>
  </r>
  <r>
    <x v="264"/>
    <s v="B"/>
    <x v="9"/>
    <n v="517"/>
    <n v="35"/>
    <x v="10"/>
    <n v="6.7698259187620886"/>
  </r>
  <r>
    <x v="265"/>
    <s v="B"/>
    <x v="4"/>
    <n v="582"/>
    <n v="11"/>
    <x v="15"/>
    <n v="1.8900343642611683"/>
  </r>
  <r>
    <x v="119"/>
    <s v="C"/>
    <x v="1"/>
    <n v="589"/>
    <n v="38"/>
    <x v="19"/>
    <n v="6.4516129032258061"/>
  </r>
  <r>
    <x v="37"/>
    <s v="A"/>
    <x v="16"/>
    <n v="714"/>
    <n v="7"/>
    <x v="29"/>
    <n v="0.98039215686274506"/>
  </r>
  <r>
    <x v="266"/>
    <s v="C"/>
    <x v="10"/>
    <n v="213"/>
    <n v="2"/>
    <x v="18"/>
    <n v="0.93896713615023475"/>
  </r>
  <r>
    <x v="267"/>
    <s v="A"/>
    <x v="3"/>
    <n v="286"/>
    <n v="15"/>
    <x v="19"/>
    <n v="5.244755244755245"/>
  </r>
  <r>
    <x v="30"/>
    <s v="A"/>
    <x v="17"/>
    <n v="442"/>
    <n v="14"/>
    <x v="8"/>
    <n v="3.1674208144796379"/>
  </r>
  <r>
    <x v="26"/>
    <s v="C"/>
    <x v="5"/>
    <n v="555"/>
    <n v="42"/>
    <x v="17"/>
    <n v="7.5675675675675684"/>
  </r>
  <r>
    <x v="268"/>
    <s v="A"/>
    <x v="6"/>
    <n v="508"/>
    <n v="28"/>
    <x v="0"/>
    <n v="5.5118110236220472"/>
  </r>
  <r>
    <x v="269"/>
    <s v="C"/>
    <x v="0"/>
    <n v="793"/>
    <n v="9"/>
    <x v="12"/>
    <n v="1.1349306431273645"/>
  </r>
  <r>
    <x v="270"/>
    <s v="C"/>
    <x v="16"/>
    <n v="748"/>
    <n v="76"/>
    <x v="21"/>
    <n v="10.160427807486631"/>
  </r>
  <r>
    <x v="271"/>
    <s v="C"/>
    <x v="9"/>
    <n v="842"/>
    <n v="12"/>
    <x v="21"/>
    <n v="1.4251781472684086"/>
  </r>
  <r>
    <x v="67"/>
    <s v="B"/>
    <x v="10"/>
    <n v="644"/>
    <n v="6"/>
    <x v="22"/>
    <n v="0.93167701863354035"/>
  </r>
  <r>
    <x v="272"/>
    <s v="A"/>
    <x v="4"/>
    <n v="552"/>
    <n v="30"/>
    <x v="15"/>
    <n v="5.4347826086956523"/>
  </r>
  <r>
    <x v="269"/>
    <s v="A"/>
    <x v="9"/>
    <n v="924"/>
    <n v="64"/>
    <x v="25"/>
    <n v="6.9264069264069263"/>
  </r>
  <r>
    <x v="273"/>
    <s v="B"/>
    <x v="15"/>
    <n v="603"/>
    <n v="37"/>
    <x v="4"/>
    <n v="6.1359867330016584"/>
  </r>
  <r>
    <x v="274"/>
    <s v="A"/>
    <x v="12"/>
    <n v="581"/>
    <n v="33"/>
    <x v="19"/>
    <n v="5.6798623063683307"/>
  </r>
  <r>
    <x v="275"/>
    <s v="B"/>
    <x v="2"/>
    <n v="888"/>
    <n v="42"/>
    <x v="4"/>
    <n v="4.7297297297297298"/>
  </r>
  <r>
    <x v="276"/>
    <s v="A"/>
    <x v="3"/>
    <n v="449"/>
    <n v="27"/>
    <x v="8"/>
    <n v="6.0133630289532292"/>
  </r>
  <r>
    <x v="277"/>
    <s v="B"/>
    <x v="17"/>
    <n v="777"/>
    <n v="47"/>
    <x v="5"/>
    <n v="6.0489060489060487"/>
  </r>
  <r>
    <x v="278"/>
    <s v="A"/>
    <x v="5"/>
    <n v="494"/>
    <n v="15"/>
    <x v="28"/>
    <n v="3.0364372469635628"/>
  </r>
  <r>
    <x v="108"/>
    <s v="A"/>
    <x v="8"/>
    <n v="445"/>
    <n v="14"/>
    <x v="14"/>
    <n v="3.1460674157303372"/>
  </r>
  <r>
    <x v="23"/>
    <s v="B"/>
    <x v="0"/>
    <n v="729"/>
    <n v="45"/>
    <x v="15"/>
    <n v="6.1728395061728394"/>
  </r>
  <r>
    <x v="233"/>
    <s v="B"/>
    <x v="19"/>
    <n v="993"/>
    <n v="74"/>
    <x v="26"/>
    <n v="7.4521651560926481"/>
  </r>
  <r>
    <x v="128"/>
    <s v="C"/>
    <x v="6"/>
    <n v="798"/>
    <n v="40"/>
    <x v="12"/>
    <n v="5.0125313283208017"/>
  </r>
  <r>
    <x v="279"/>
    <s v="C"/>
    <x v="9"/>
    <n v="201"/>
    <n v="5"/>
    <x v="13"/>
    <n v="2.4875621890547266"/>
  </r>
  <r>
    <x v="280"/>
    <s v="B"/>
    <x v="16"/>
    <n v="752"/>
    <n v="25"/>
    <x v="17"/>
    <n v="3.3244680851063828"/>
  </r>
  <r>
    <x v="281"/>
    <s v="A"/>
    <x v="3"/>
    <n v="822"/>
    <n v="44"/>
    <x v="25"/>
    <n v="5.3527980535279802"/>
  </r>
  <r>
    <x v="69"/>
    <s v="A"/>
    <x v="0"/>
    <n v="283"/>
    <n v="11"/>
    <x v="24"/>
    <n v="3.8869257950530036"/>
  </r>
  <r>
    <x v="35"/>
    <s v="C"/>
    <x v="15"/>
    <n v="227"/>
    <n v="6"/>
    <x v="3"/>
    <n v="2.643171806167401"/>
  </r>
  <r>
    <x v="282"/>
    <s v="B"/>
    <x v="13"/>
    <n v="648"/>
    <n v="32"/>
    <x v="23"/>
    <n v="4.9382716049382713"/>
  </r>
  <r>
    <x v="283"/>
    <s v="A"/>
    <x v="4"/>
    <n v="500"/>
    <n v="11"/>
    <x v="10"/>
    <n v="2.1999999999999997"/>
  </r>
  <r>
    <x v="141"/>
    <s v="C"/>
    <x v="10"/>
    <n v="209"/>
    <n v="2"/>
    <x v="8"/>
    <n v="0.9569377990430622"/>
  </r>
  <r>
    <x v="151"/>
    <s v="C"/>
    <x v="0"/>
    <n v="804"/>
    <n v="32"/>
    <x v="1"/>
    <n v="3.9800995024875623"/>
  </r>
  <r>
    <x v="140"/>
    <s v="C"/>
    <x v="11"/>
    <n v="456"/>
    <n v="19"/>
    <x v="12"/>
    <n v="4.1666666666666661"/>
  </r>
  <r>
    <x v="284"/>
    <s v="C"/>
    <x v="9"/>
    <n v="712"/>
    <n v="18"/>
    <x v="3"/>
    <n v="2.5280898876404492"/>
  </r>
  <r>
    <x v="285"/>
    <s v="A"/>
    <x v="0"/>
    <n v="483"/>
    <n v="6"/>
    <x v="3"/>
    <n v="1.2422360248447204"/>
  </r>
  <r>
    <x v="286"/>
    <s v="C"/>
    <x v="11"/>
    <n v="403"/>
    <n v="21"/>
    <x v="2"/>
    <n v="5.2109181141439205"/>
  </r>
  <r>
    <x v="257"/>
    <s v="C"/>
    <x v="17"/>
    <n v="755"/>
    <n v="37"/>
    <x v="14"/>
    <n v="4.9006622516556293"/>
  </r>
  <r>
    <x v="287"/>
    <s v="B"/>
    <x v="19"/>
    <n v="819"/>
    <n v="28"/>
    <x v="7"/>
    <n v="3.4188034188034191"/>
  </r>
  <r>
    <x v="288"/>
    <s v="B"/>
    <x v="13"/>
    <n v="533"/>
    <n v="7"/>
    <x v="9"/>
    <n v="1.3133208255159476"/>
  </r>
  <r>
    <x v="289"/>
    <s v="A"/>
    <x v="2"/>
    <n v="219"/>
    <n v="3"/>
    <x v="10"/>
    <n v="1.3698630136986301"/>
  </r>
  <r>
    <x v="290"/>
    <s v="A"/>
    <x v="1"/>
    <n v="234"/>
    <n v="12"/>
    <x v="18"/>
    <n v="5.1282051282051277"/>
  </r>
  <r>
    <x v="56"/>
    <s v="C"/>
    <x v="1"/>
    <n v="360"/>
    <n v="11"/>
    <x v="16"/>
    <n v="3.0555555555555554"/>
  </r>
  <r>
    <x v="291"/>
    <s v="B"/>
    <x v="1"/>
    <n v="689"/>
    <n v="25"/>
    <x v="11"/>
    <n v="3.6284470246734397"/>
  </r>
  <r>
    <x v="79"/>
    <s v="B"/>
    <x v="13"/>
    <n v="450"/>
    <n v="5"/>
    <x v="10"/>
    <n v="1.1111111111111112"/>
  </r>
  <r>
    <x v="292"/>
    <s v="A"/>
    <x v="9"/>
    <n v="505"/>
    <n v="41"/>
    <x v="12"/>
    <n v="8.1188118811881189"/>
  </r>
  <r>
    <x v="293"/>
    <s v="C"/>
    <x v="18"/>
    <n v="383"/>
    <n v="17"/>
    <x v="29"/>
    <n v="4.4386422976501301"/>
  </r>
  <r>
    <x v="294"/>
    <s v="B"/>
    <x v="7"/>
    <n v="627"/>
    <n v="22"/>
    <x v="14"/>
    <n v="3.5087719298245612"/>
  </r>
  <r>
    <x v="133"/>
    <s v="C"/>
    <x v="6"/>
    <n v="837"/>
    <n v="29"/>
    <x v="21"/>
    <n v="3.4647550776583032"/>
  </r>
  <r>
    <x v="38"/>
    <s v="B"/>
    <x v="0"/>
    <n v="945"/>
    <n v="46"/>
    <x v="23"/>
    <n v="4.8677248677248679"/>
  </r>
  <r>
    <x v="295"/>
    <s v="B"/>
    <x v="11"/>
    <n v="540"/>
    <n v="9"/>
    <x v="9"/>
    <n v="1.6666666666666667"/>
  </r>
  <r>
    <x v="296"/>
    <s v="C"/>
    <x v="4"/>
    <n v="551"/>
    <n v="18"/>
    <x v="7"/>
    <n v="3.2667876588021776"/>
  </r>
  <r>
    <x v="28"/>
    <s v="C"/>
    <x v="13"/>
    <n v="374"/>
    <n v="26"/>
    <x v="15"/>
    <n v="6.9518716577540109"/>
  </r>
  <r>
    <x v="272"/>
    <s v="B"/>
    <x v="5"/>
    <n v="417"/>
    <n v="10"/>
    <x v="17"/>
    <n v="2.3980815347721824"/>
  </r>
  <r>
    <x v="297"/>
    <s v="B"/>
    <x v="16"/>
    <n v="344"/>
    <n v="28"/>
    <x v="14"/>
    <n v="8.1395348837209305"/>
  </r>
  <r>
    <x v="298"/>
    <s v="A"/>
    <x v="11"/>
    <n v="787"/>
    <n v="16"/>
    <x v="19"/>
    <n v="2.0330368487928845"/>
  </r>
  <r>
    <x v="172"/>
    <s v="A"/>
    <x v="13"/>
    <n v="200"/>
    <n v="5"/>
    <x v="15"/>
    <n v="2.5"/>
  </r>
  <r>
    <x v="35"/>
    <s v="C"/>
    <x v="12"/>
    <n v="252"/>
    <n v="14"/>
    <x v="26"/>
    <n v="5.5555555555555554"/>
  </r>
  <r>
    <x v="227"/>
    <s v="B"/>
    <x v="0"/>
    <n v="419"/>
    <n v="9"/>
    <x v="18"/>
    <n v="2.1479713603818613"/>
  </r>
  <r>
    <x v="299"/>
    <s v="C"/>
    <x v="11"/>
    <n v="774"/>
    <n v="57"/>
    <x v="29"/>
    <n v="7.3643410852713185"/>
  </r>
  <r>
    <x v="123"/>
    <s v="B"/>
    <x v="4"/>
    <n v="887"/>
    <n v="41"/>
    <x v="6"/>
    <n v="4.6223224351747465"/>
  </r>
  <r>
    <x v="300"/>
    <s v="A"/>
    <x v="14"/>
    <n v="358"/>
    <n v="27"/>
    <x v="23"/>
    <n v="7.5418994413407825"/>
  </r>
  <r>
    <x v="86"/>
    <s v="A"/>
    <x v="4"/>
    <n v="580"/>
    <n v="46"/>
    <x v="29"/>
    <n v="7.931034482758621"/>
  </r>
  <r>
    <x v="216"/>
    <s v="A"/>
    <x v="15"/>
    <n v="218"/>
    <n v="16"/>
    <x v="1"/>
    <n v="7.3394495412844041"/>
  </r>
  <r>
    <x v="149"/>
    <s v="A"/>
    <x v="7"/>
    <n v="478"/>
    <n v="23"/>
    <x v="0"/>
    <n v="4.8117154811715483"/>
  </r>
  <r>
    <x v="125"/>
    <s v="A"/>
    <x v="18"/>
    <n v="543"/>
    <n v="18"/>
    <x v="16"/>
    <n v="3.3149171270718232"/>
  </r>
  <r>
    <x v="0"/>
    <s v="A"/>
    <x v="19"/>
    <n v="924"/>
    <n v="27"/>
    <x v="22"/>
    <n v="2.9220779220779218"/>
  </r>
  <r>
    <x v="301"/>
    <s v="C"/>
    <x v="13"/>
    <n v="910"/>
    <n v="41"/>
    <x v="5"/>
    <n v="4.5054945054945055"/>
  </r>
  <r>
    <x v="302"/>
    <s v="C"/>
    <x v="12"/>
    <n v="804"/>
    <n v="28"/>
    <x v="0"/>
    <n v="3.4825870646766171"/>
  </r>
  <r>
    <x v="303"/>
    <s v="A"/>
    <x v="3"/>
    <n v="696"/>
    <n v="20"/>
    <x v="9"/>
    <n v="2.8735632183908044"/>
  </r>
  <r>
    <x v="304"/>
    <s v="B"/>
    <x v="11"/>
    <n v="466"/>
    <n v="26"/>
    <x v="10"/>
    <n v="5.5793991416309012"/>
  </r>
  <r>
    <x v="305"/>
    <s v="C"/>
    <x v="19"/>
    <n v="976"/>
    <n v="43"/>
    <x v="5"/>
    <n v="4.4057377049180326"/>
  </r>
  <r>
    <x v="306"/>
    <s v="A"/>
    <x v="2"/>
    <n v="649"/>
    <n v="20"/>
    <x v="8"/>
    <n v="3.0816640986132513"/>
  </r>
  <r>
    <x v="307"/>
    <s v="C"/>
    <x v="3"/>
    <n v="353"/>
    <n v="4"/>
    <x v="15"/>
    <n v="1.1331444759206799"/>
  </r>
  <r>
    <x v="68"/>
    <s v="C"/>
    <x v="19"/>
    <n v="503"/>
    <n v="25"/>
    <x v="9"/>
    <n v="4.9701789264413518"/>
  </r>
  <r>
    <x v="246"/>
    <s v="A"/>
    <x v="11"/>
    <n v="982"/>
    <n v="38"/>
    <x v="21"/>
    <n v="3.8696537678207736"/>
  </r>
  <r>
    <x v="223"/>
    <s v="C"/>
    <x v="9"/>
    <n v="697"/>
    <n v="42"/>
    <x v="10"/>
    <n v="6.0258249641319939"/>
  </r>
  <r>
    <x v="308"/>
    <s v="A"/>
    <x v="1"/>
    <n v="220"/>
    <n v="3"/>
    <x v="29"/>
    <n v="1.3636363636363635"/>
  </r>
  <r>
    <x v="228"/>
    <s v="B"/>
    <x v="11"/>
    <n v="316"/>
    <n v="19"/>
    <x v="29"/>
    <n v="6.0126582278481013"/>
  </r>
  <r>
    <x v="309"/>
    <s v="B"/>
    <x v="6"/>
    <n v="914"/>
    <n v="27"/>
    <x v="28"/>
    <n v="2.9540481400437639"/>
  </r>
  <r>
    <x v="310"/>
    <s v="C"/>
    <x v="0"/>
    <n v="340"/>
    <n v="8"/>
    <x v="0"/>
    <n v="2.3529411764705883"/>
  </r>
  <r>
    <x v="53"/>
    <s v="A"/>
    <x v="7"/>
    <n v="572"/>
    <n v="15"/>
    <x v="0"/>
    <n v="2.6223776223776225"/>
  </r>
  <r>
    <x v="311"/>
    <s v="A"/>
    <x v="11"/>
    <n v="950"/>
    <n v="47"/>
    <x v="1"/>
    <n v="4.9473684210526319"/>
  </r>
  <r>
    <x v="312"/>
    <s v="B"/>
    <x v="3"/>
    <n v="305"/>
    <n v="18"/>
    <x v="27"/>
    <n v="5.9016393442622954"/>
  </r>
  <r>
    <x v="313"/>
    <s v="A"/>
    <x v="10"/>
    <n v="788"/>
    <n v="23"/>
    <x v="2"/>
    <n v="2.9187817258883251"/>
  </r>
  <r>
    <x v="128"/>
    <s v="B"/>
    <x v="15"/>
    <n v="658"/>
    <n v="14"/>
    <x v="18"/>
    <n v="2.1276595744680851"/>
  </r>
  <r>
    <x v="209"/>
    <s v="A"/>
    <x v="6"/>
    <n v="238"/>
    <n v="12"/>
    <x v="17"/>
    <n v="5.0420168067226889"/>
  </r>
  <r>
    <x v="310"/>
    <s v="B"/>
    <x v="14"/>
    <n v="511"/>
    <n v="27"/>
    <x v="7"/>
    <n v="5.283757338551859"/>
  </r>
  <r>
    <x v="314"/>
    <s v="B"/>
    <x v="11"/>
    <n v="235"/>
    <n v="7"/>
    <x v="18"/>
    <n v="2.9787234042553195"/>
  </r>
  <r>
    <x v="315"/>
    <s v="A"/>
    <x v="15"/>
    <n v="584"/>
    <n v="21"/>
    <x v="15"/>
    <n v="3.595890410958904"/>
  </r>
  <r>
    <x v="136"/>
    <s v="A"/>
    <x v="16"/>
    <n v="758"/>
    <n v="61"/>
    <x v="11"/>
    <n v="8.047493403693931"/>
  </r>
  <r>
    <x v="183"/>
    <s v="C"/>
    <x v="3"/>
    <n v="317"/>
    <n v="15"/>
    <x v="16"/>
    <n v="4.7318611987381702"/>
  </r>
  <r>
    <x v="316"/>
    <s v="B"/>
    <x v="0"/>
    <n v="225"/>
    <n v="5"/>
    <x v="19"/>
    <n v="2.2222222222222223"/>
  </r>
  <r>
    <x v="317"/>
    <s v="C"/>
    <x v="10"/>
    <n v="577"/>
    <n v="25"/>
    <x v="24"/>
    <n v="4.3327556325823222"/>
  </r>
  <r>
    <x v="49"/>
    <s v="A"/>
    <x v="8"/>
    <n v="351"/>
    <n v="10"/>
    <x v="20"/>
    <n v="2.8490028490028489"/>
  </r>
  <r>
    <x v="318"/>
    <s v="A"/>
    <x v="13"/>
    <n v="492"/>
    <n v="17"/>
    <x v="9"/>
    <n v="3.4552845528455287"/>
  </r>
  <r>
    <x v="319"/>
    <s v="A"/>
    <x v="5"/>
    <n v="811"/>
    <n v="35"/>
    <x v="6"/>
    <n v="4.3156596794081379"/>
  </r>
  <r>
    <x v="320"/>
    <s v="B"/>
    <x v="19"/>
    <n v="345"/>
    <n v="17"/>
    <x v="1"/>
    <n v="4.9275362318840585"/>
  </r>
  <r>
    <x v="321"/>
    <s v="A"/>
    <x v="19"/>
    <n v="638"/>
    <n v="26"/>
    <x v="12"/>
    <n v="4.0752351097178678"/>
  </r>
  <r>
    <x v="322"/>
    <s v="A"/>
    <x v="9"/>
    <n v="682"/>
    <n v="47"/>
    <x v="13"/>
    <n v="6.8914956011730197"/>
  </r>
  <r>
    <x v="323"/>
    <s v="A"/>
    <x v="2"/>
    <n v="860"/>
    <n v="10"/>
    <x v="22"/>
    <n v="1.1627906976744187"/>
  </r>
  <r>
    <x v="324"/>
    <s v="B"/>
    <x v="6"/>
    <n v="854"/>
    <n v="18"/>
    <x v="26"/>
    <n v="2.1077283372365341"/>
  </r>
  <r>
    <x v="186"/>
    <s v="C"/>
    <x v="6"/>
    <n v="722"/>
    <n v="17"/>
    <x v="6"/>
    <n v="2.3545706371191137"/>
  </r>
  <r>
    <x v="325"/>
    <s v="C"/>
    <x v="0"/>
    <n v="708"/>
    <n v="7"/>
    <x v="11"/>
    <n v="0.98870056497175152"/>
  </r>
  <r>
    <x v="326"/>
    <s v="C"/>
    <x v="2"/>
    <n v="519"/>
    <n v="11"/>
    <x v="10"/>
    <n v="2.1194605009633909"/>
  </r>
  <r>
    <x v="304"/>
    <s v="B"/>
    <x v="12"/>
    <n v="753"/>
    <n v="34"/>
    <x v="14"/>
    <n v="4.5152722443559101"/>
  </r>
  <r>
    <x v="327"/>
    <s v="B"/>
    <x v="2"/>
    <n v="952"/>
    <n v="9"/>
    <x v="20"/>
    <n v="0.94537815126050417"/>
  </r>
  <r>
    <x v="145"/>
    <s v="A"/>
    <x v="3"/>
    <n v="501"/>
    <n v="9"/>
    <x v="7"/>
    <n v="1.7964071856287425"/>
  </r>
  <r>
    <x v="328"/>
    <s v="A"/>
    <x v="3"/>
    <n v="753"/>
    <n v="64"/>
    <x v="17"/>
    <n v="8.4993359893758296"/>
  </r>
  <r>
    <x v="329"/>
    <s v="B"/>
    <x v="2"/>
    <n v="235"/>
    <n v="4"/>
    <x v="21"/>
    <n v="1.7021276595744681"/>
  </r>
  <r>
    <x v="181"/>
    <s v="A"/>
    <x v="2"/>
    <n v="272"/>
    <n v="7"/>
    <x v="14"/>
    <n v="2.5735294117647056"/>
  </r>
  <r>
    <x v="330"/>
    <s v="A"/>
    <x v="11"/>
    <n v="624"/>
    <n v="32"/>
    <x v="19"/>
    <n v="5.1282051282051277"/>
  </r>
  <r>
    <x v="303"/>
    <s v="B"/>
    <x v="6"/>
    <n v="841"/>
    <n v="35"/>
    <x v="8"/>
    <n v="4.1617122473246138"/>
  </r>
  <r>
    <x v="331"/>
    <s v="B"/>
    <x v="7"/>
    <n v="359"/>
    <n v="21"/>
    <x v="27"/>
    <n v="5.8495821727019495"/>
  </r>
  <r>
    <x v="220"/>
    <s v="B"/>
    <x v="6"/>
    <n v="761"/>
    <n v="36"/>
    <x v="11"/>
    <n v="4.7306176084099869"/>
  </r>
  <r>
    <x v="332"/>
    <s v="B"/>
    <x v="5"/>
    <n v="257"/>
    <n v="9"/>
    <x v="19"/>
    <n v="3.5019455252918288"/>
  </r>
  <r>
    <x v="126"/>
    <s v="B"/>
    <x v="17"/>
    <n v="926"/>
    <n v="31"/>
    <x v="13"/>
    <n v="3.3477321814254863"/>
  </r>
  <r>
    <x v="311"/>
    <s v="C"/>
    <x v="18"/>
    <n v="553"/>
    <n v="20"/>
    <x v="21"/>
    <n v="3.6166365280289332"/>
  </r>
  <r>
    <x v="333"/>
    <s v="C"/>
    <x v="8"/>
    <n v="861"/>
    <n v="54"/>
    <x v="5"/>
    <n v="6.2717770034843205"/>
  </r>
  <r>
    <x v="334"/>
    <s v="C"/>
    <x v="7"/>
    <n v="676"/>
    <n v="32"/>
    <x v="13"/>
    <n v="4.7337278106508878"/>
  </r>
  <r>
    <x v="208"/>
    <s v="A"/>
    <x v="11"/>
    <n v="407"/>
    <n v="15"/>
    <x v="12"/>
    <n v="3.6855036855036856"/>
  </r>
  <r>
    <x v="335"/>
    <s v="C"/>
    <x v="11"/>
    <n v="254"/>
    <n v="14"/>
    <x v="4"/>
    <n v="5.5118110236220472"/>
  </r>
  <r>
    <x v="106"/>
    <s v="C"/>
    <x v="6"/>
    <n v="847"/>
    <n v="69"/>
    <x v="18"/>
    <n v="8.1463990554899635"/>
  </r>
  <r>
    <x v="218"/>
    <s v="C"/>
    <x v="17"/>
    <n v="436"/>
    <n v="10"/>
    <x v="14"/>
    <n v="2.2935779816513762"/>
  </r>
  <r>
    <x v="336"/>
    <s v="C"/>
    <x v="15"/>
    <n v="829"/>
    <n v="82"/>
    <x v="21"/>
    <n v="9.8914354644149576"/>
  </r>
  <r>
    <x v="337"/>
    <s v="B"/>
    <x v="3"/>
    <n v="563"/>
    <n v="16"/>
    <x v="20"/>
    <n v="2.8419182948490231"/>
  </r>
  <r>
    <x v="338"/>
    <s v="B"/>
    <x v="7"/>
    <n v="283"/>
    <n v="11"/>
    <x v="15"/>
    <n v="3.8869257950530036"/>
  </r>
  <r>
    <x v="15"/>
    <s v="B"/>
    <x v="5"/>
    <n v="942"/>
    <n v="70"/>
    <x v="17"/>
    <n v="7.4309978768577496"/>
  </r>
  <r>
    <x v="339"/>
    <s v="C"/>
    <x v="19"/>
    <n v="659"/>
    <n v="48"/>
    <x v="18"/>
    <n v="7.2837632776934749"/>
  </r>
  <r>
    <x v="340"/>
    <s v="B"/>
    <x v="15"/>
    <n v="853"/>
    <n v="13"/>
    <x v="22"/>
    <n v="1.5240328253223916"/>
  </r>
  <r>
    <x v="223"/>
    <s v="A"/>
    <x v="0"/>
    <n v="948"/>
    <n v="25"/>
    <x v="10"/>
    <n v="2.6371308016877637"/>
  </r>
  <r>
    <x v="175"/>
    <s v="B"/>
    <x v="19"/>
    <n v="960"/>
    <n v="41"/>
    <x v="26"/>
    <n v="4.270833333333333"/>
  </r>
  <r>
    <x v="170"/>
    <s v="B"/>
    <x v="9"/>
    <n v="379"/>
    <n v="14"/>
    <x v="5"/>
    <n v="3.6939313984168867"/>
  </r>
  <r>
    <x v="341"/>
    <s v="A"/>
    <x v="15"/>
    <n v="665"/>
    <n v="38"/>
    <x v="25"/>
    <n v="5.7142857142857144"/>
  </r>
  <r>
    <x v="255"/>
    <s v="C"/>
    <x v="11"/>
    <n v="342"/>
    <n v="32"/>
    <x v="24"/>
    <n v="9.3567251461988299"/>
  </r>
  <r>
    <x v="342"/>
    <s v="A"/>
    <x v="17"/>
    <n v="689"/>
    <n v="29"/>
    <x v="5"/>
    <n v="4.2089985486211905"/>
  </r>
  <r>
    <x v="343"/>
    <s v="C"/>
    <x v="16"/>
    <n v="877"/>
    <n v="54"/>
    <x v="7"/>
    <n v="6.1573546180159635"/>
  </r>
  <r>
    <x v="344"/>
    <s v="A"/>
    <x v="14"/>
    <n v="415"/>
    <n v="22"/>
    <x v="24"/>
    <n v="5.3012048192771086"/>
  </r>
  <r>
    <x v="174"/>
    <s v="B"/>
    <x v="11"/>
    <n v="266"/>
    <n v="15"/>
    <x v="16"/>
    <n v="5.6390977443609023"/>
  </r>
  <r>
    <x v="142"/>
    <s v="C"/>
    <x v="2"/>
    <n v="272"/>
    <n v="6"/>
    <x v="14"/>
    <n v="2.2058823529411766"/>
  </r>
  <r>
    <x v="32"/>
    <s v="C"/>
    <x v="17"/>
    <n v="329"/>
    <n v="10"/>
    <x v="2"/>
    <n v="3.0395136778115504"/>
  </r>
  <r>
    <x v="16"/>
    <s v="A"/>
    <x v="12"/>
    <n v="967"/>
    <n v="76"/>
    <x v="5"/>
    <n v="7.8593588417786968"/>
  </r>
  <r>
    <x v="345"/>
    <s v="C"/>
    <x v="1"/>
    <n v="452"/>
    <n v="39"/>
    <x v="14"/>
    <n v="8.6283185840707954"/>
  </r>
  <r>
    <x v="104"/>
    <s v="C"/>
    <x v="19"/>
    <n v="981"/>
    <n v="23"/>
    <x v="11"/>
    <n v="2.3445463812436289"/>
  </r>
  <r>
    <x v="89"/>
    <s v="C"/>
    <x v="16"/>
    <n v="437"/>
    <n v="9"/>
    <x v="21"/>
    <n v="2.05949656750572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21823-221B-47AF-A43C-01A98B754F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4" firstHeaderRow="1" firstDataRow="1" firstDataCol="1"/>
  <pivotFields count="10">
    <pivotField numFmtId="164" showAll="0">
      <items count="347">
        <item x="65"/>
        <item x="125"/>
        <item x="222"/>
        <item x="51"/>
        <item x="93"/>
        <item x="342"/>
        <item x="258"/>
        <item x="271"/>
        <item x="285"/>
        <item x="6"/>
        <item x="29"/>
        <item x="337"/>
        <item x="251"/>
        <item x="110"/>
        <item x="113"/>
        <item x="61"/>
        <item x="140"/>
        <item x="221"/>
        <item x="247"/>
        <item x="281"/>
        <item x="91"/>
        <item x="261"/>
        <item x="303"/>
        <item x="114"/>
        <item x="256"/>
        <item x="292"/>
        <item x="86"/>
        <item x="227"/>
        <item x="310"/>
        <item x="33"/>
        <item x="99"/>
        <item x="94"/>
        <item x="330"/>
        <item x="4"/>
        <item x="325"/>
        <item x="63"/>
        <item x="145"/>
        <item x="13"/>
        <item x="56"/>
        <item x="331"/>
        <item x="136"/>
        <item x="119"/>
        <item x="15"/>
        <item x="0"/>
        <item x="233"/>
        <item x="68"/>
        <item x="3"/>
        <item x="235"/>
        <item x="173"/>
        <item x="266"/>
        <item x="312"/>
        <item x="316"/>
        <item x="228"/>
        <item x="8"/>
        <item x="190"/>
        <item x="198"/>
        <item x="295"/>
        <item x="313"/>
        <item x="270"/>
        <item x="96"/>
        <item x="184"/>
        <item x="17"/>
        <item x="111"/>
        <item x="100"/>
        <item x="290"/>
        <item x="196"/>
        <item x="204"/>
        <item x="205"/>
        <item x="296"/>
        <item x="210"/>
        <item x="226"/>
        <item x="236"/>
        <item x="326"/>
        <item x="278"/>
        <item x="92"/>
        <item x="260"/>
        <item x="142"/>
        <item x="26"/>
        <item x="74"/>
        <item x="238"/>
        <item x="46"/>
        <item x="138"/>
        <item x="259"/>
        <item x="280"/>
        <item x="339"/>
        <item x="264"/>
        <item x="189"/>
        <item x="199"/>
        <item x="88"/>
        <item x="321"/>
        <item x="38"/>
        <item x="267"/>
        <item x="24"/>
        <item x="242"/>
        <item x="301"/>
        <item x="195"/>
        <item x="112"/>
        <item x="75"/>
        <item x="188"/>
        <item x="332"/>
        <item x="62"/>
        <item x="129"/>
        <item x="224"/>
        <item x="10"/>
        <item x="87"/>
        <item x="126"/>
        <item x="181"/>
        <item x="340"/>
        <item x="154"/>
        <item x="252"/>
        <item x="234"/>
        <item x="248"/>
        <item x="109"/>
        <item x="171"/>
        <item x="167"/>
        <item x="319"/>
        <item x="134"/>
        <item x="52"/>
        <item x="144"/>
        <item x="42"/>
        <item x="279"/>
        <item x="186"/>
        <item x="80"/>
        <item x="30"/>
        <item x="218"/>
        <item x="268"/>
        <item x="344"/>
        <item x="160"/>
        <item x="214"/>
        <item x="300"/>
        <item x="176"/>
        <item x="305"/>
        <item x="76"/>
        <item x="2"/>
        <item x="320"/>
        <item x="47"/>
        <item x="25"/>
        <item x="193"/>
        <item x="157"/>
        <item x="253"/>
        <item x="329"/>
        <item x="275"/>
        <item x="106"/>
        <item x="192"/>
        <item x="82"/>
        <item x="212"/>
        <item x="263"/>
        <item x="217"/>
        <item x="298"/>
        <item x="19"/>
        <item x="28"/>
        <item x="50"/>
        <item x="165"/>
        <item x="286"/>
        <item x="269"/>
        <item x="341"/>
        <item x="200"/>
        <item x="11"/>
        <item x="343"/>
        <item x="85"/>
        <item x="55"/>
        <item x="334"/>
        <item x="297"/>
        <item x="20"/>
        <item x="53"/>
        <item x="152"/>
        <item x="202"/>
        <item x="302"/>
        <item x="291"/>
        <item x="336"/>
        <item x="161"/>
        <item x="249"/>
        <item x="57"/>
        <item x="306"/>
        <item x="14"/>
        <item x="168"/>
        <item x="245"/>
        <item x="156"/>
        <item x="107"/>
        <item x="89"/>
        <item x="155"/>
        <item x="23"/>
        <item x="178"/>
        <item x="48"/>
        <item x="66"/>
        <item x="103"/>
        <item x="128"/>
        <item x="127"/>
        <item x="287"/>
        <item x="191"/>
        <item x="71"/>
        <item x="182"/>
        <item x="225"/>
        <item x="116"/>
        <item x="283"/>
        <item x="163"/>
        <item x="22"/>
        <item x="211"/>
        <item x="185"/>
        <item x="105"/>
        <item x="231"/>
        <item x="232"/>
        <item x="59"/>
        <item x="333"/>
        <item x="327"/>
        <item x="1"/>
        <item x="250"/>
        <item x="187"/>
        <item x="175"/>
        <item x="299"/>
        <item x="323"/>
        <item x="220"/>
        <item x="58"/>
        <item x="77"/>
        <item x="12"/>
        <item x="27"/>
        <item x="131"/>
        <item x="78"/>
        <item x="201"/>
        <item x="9"/>
        <item x="244"/>
        <item x="289"/>
        <item x="98"/>
        <item x="153"/>
        <item x="311"/>
        <item x="32"/>
        <item x="36"/>
        <item x="69"/>
        <item x="254"/>
        <item x="44"/>
        <item x="318"/>
        <item x="207"/>
        <item x="108"/>
        <item x="21"/>
        <item x="90"/>
        <item x="174"/>
        <item x="101"/>
        <item x="115"/>
        <item x="241"/>
        <item x="43"/>
        <item x="151"/>
        <item x="60"/>
        <item x="177"/>
        <item x="34"/>
        <item x="257"/>
        <item x="315"/>
        <item x="255"/>
        <item x="262"/>
        <item x="95"/>
        <item x="338"/>
        <item x="141"/>
        <item x="282"/>
        <item x="139"/>
        <item x="122"/>
        <item x="208"/>
        <item x="130"/>
        <item x="73"/>
        <item x="147"/>
        <item x="317"/>
        <item x="31"/>
        <item x="64"/>
        <item x="40"/>
        <item x="135"/>
        <item x="54"/>
        <item x="67"/>
        <item x="41"/>
        <item x="272"/>
        <item x="216"/>
        <item x="117"/>
        <item x="133"/>
        <item x="146"/>
        <item x="240"/>
        <item x="324"/>
        <item x="230"/>
        <item x="102"/>
        <item x="49"/>
        <item x="309"/>
        <item x="265"/>
        <item x="170"/>
        <item x="197"/>
        <item x="194"/>
        <item x="213"/>
        <item x="335"/>
        <item x="123"/>
        <item x="7"/>
        <item x="149"/>
        <item x="215"/>
        <item x="179"/>
        <item x="274"/>
        <item x="159"/>
        <item x="158"/>
        <item x="314"/>
        <item x="307"/>
        <item x="183"/>
        <item x="277"/>
        <item x="150"/>
        <item x="209"/>
        <item x="180"/>
        <item x="124"/>
        <item x="148"/>
        <item x="45"/>
        <item x="97"/>
        <item x="164"/>
        <item x="219"/>
        <item x="288"/>
        <item x="137"/>
        <item x="304"/>
        <item x="308"/>
        <item x="223"/>
        <item x="203"/>
        <item x="18"/>
        <item x="276"/>
        <item x="16"/>
        <item x="293"/>
        <item x="246"/>
        <item x="169"/>
        <item x="229"/>
        <item x="104"/>
        <item x="166"/>
        <item x="239"/>
        <item x="35"/>
        <item x="120"/>
        <item x="284"/>
        <item x="273"/>
        <item x="39"/>
        <item x="243"/>
        <item x="345"/>
        <item x="132"/>
        <item x="172"/>
        <item x="328"/>
        <item x="294"/>
        <item x="143"/>
        <item x="37"/>
        <item x="5"/>
        <item x="81"/>
        <item x="70"/>
        <item x="322"/>
        <item x="237"/>
        <item x="162"/>
        <item x="206"/>
        <item x="84"/>
        <item x="83"/>
        <item x="121"/>
        <item x="79"/>
        <item x="118"/>
        <item x="72"/>
        <item t="default"/>
      </items>
    </pivotField>
    <pivotField showAll="0"/>
    <pivotField axis="axisRow" showAll="0">
      <items count="21">
        <item x="0"/>
        <item x="19"/>
        <item x="15"/>
        <item x="12"/>
        <item x="18"/>
        <item x="16"/>
        <item x="6"/>
        <item x="13"/>
        <item x="2"/>
        <item x="17"/>
        <item x="11"/>
        <item x="4"/>
        <item x="7"/>
        <item x="1"/>
        <item x="14"/>
        <item x="5"/>
        <item x="8"/>
        <item x="10"/>
        <item x="3"/>
        <item x="9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Defect as percentage" fld="6" subtotal="average" baseField="2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76CD6-3CBD-48F9-8B25-990DDECEA16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32" firstHeaderRow="1" firstDataRow="1" firstDataCol="1"/>
  <pivotFields count="10">
    <pivotField numFmtId="164" showAll="0">
      <items count="347">
        <item x="65"/>
        <item x="125"/>
        <item x="222"/>
        <item x="51"/>
        <item x="93"/>
        <item x="342"/>
        <item x="258"/>
        <item x="271"/>
        <item x="285"/>
        <item x="6"/>
        <item x="29"/>
        <item x="337"/>
        <item x="251"/>
        <item x="110"/>
        <item x="113"/>
        <item x="61"/>
        <item x="140"/>
        <item x="221"/>
        <item x="247"/>
        <item x="281"/>
        <item x="91"/>
        <item x="261"/>
        <item x="303"/>
        <item x="114"/>
        <item x="256"/>
        <item x="292"/>
        <item x="86"/>
        <item x="227"/>
        <item x="310"/>
        <item x="33"/>
        <item x="99"/>
        <item x="94"/>
        <item x="330"/>
        <item x="4"/>
        <item x="325"/>
        <item x="63"/>
        <item x="145"/>
        <item x="13"/>
        <item x="56"/>
        <item x="331"/>
        <item x="136"/>
        <item x="119"/>
        <item x="15"/>
        <item x="0"/>
        <item x="233"/>
        <item x="68"/>
        <item x="3"/>
        <item x="235"/>
        <item x="173"/>
        <item x="266"/>
        <item x="312"/>
        <item x="316"/>
        <item x="228"/>
        <item x="8"/>
        <item x="190"/>
        <item x="198"/>
        <item x="295"/>
        <item x="313"/>
        <item x="270"/>
        <item x="96"/>
        <item x="184"/>
        <item x="17"/>
        <item x="111"/>
        <item x="100"/>
        <item x="290"/>
        <item x="196"/>
        <item x="204"/>
        <item x="205"/>
        <item x="296"/>
        <item x="210"/>
        <item x="226"/>
        <item x="236"/>
        <item x="326"/>
        <item x="278"/>
        <item x="92"/>
        <item x="260"/>
        <item x="142"/>
        <item x="26"/>
        <item x="74"/>
        <item x="238"/>
        <item x="46"/>
        <item x="138"/>
        <item x="259"/>
        <item x="280"/>
        <item x="339"/>
        <item x="264"/>
        <item x="189"/>
        <item x="199"/>
        <item x="88"/>
        <item x="321"/>
        <item x="38"/>
        <item x="267"/>
        <item x="24"/>
        <item x="242"/>
        <item x="301"/>
        <item x="195"/>
        <item x="112"/>
        <item x="75"/>
        <item x="188"/>
        <item x="332"/>
        <item x="62"/>
        <item x="129"/>
        <item x="224"/>
        <item x="10"/>
        <item x="87"/>
        <item x="126"/>
        <item x="181"/>
        <item x="340"/>
        <item x="154"/>
        <item x="252"/>
        <item x="234"/>
        <item x="248"/>
        <item x="109"/>
        <item x="171"/>
        <item x="167"/>
        <item x="319"/>
        <item x="134"/>
        <item x="52"/>
        <item x="144"/>
        <item x="42"/>
        <item x="279"/>
        <item x="186"/>
        <item x="80"/>
        <item x="30"/>
        <item x="218"/>
        <item x="268"/>
        <item x="344"/>
        <item x="160"/>
        <item x="214"/>
        <item x="300"/>
        <item x="176"/>
        <item x="305"/>
        <item x="76"/>
        <item x="2"/>
        <item x="320"/>
        <item x="47"/>
        <item x="25"/>
        <item x="193"/>
        <item x="157"/>
        <item x="253"/>
        <item x="329"/>
        <item x="275"/>
        <item x="106"/>
        <item x="192"/>
        <item x="82"/>
        <item x="212"/>
        <item x="263"/>
        <item x="217"/>
        <item x="298"/>
        <item x="19"/>
        <item x="28"/>
        <item x="50"/>
        <item x="165"/>
        <item x="286"/>
        <item x="269"/>
        <item x="341"/>
        <item x="200"/>
        <item x="11"/>
        <item x="343"/>
        <item x="85"/>
        <item x="55"/>
        <item x="334"/>
        <item x="297"/>
        <item x="20"/>
        <item x="53"/>
        <item x="152"/>
        <item x="202"/>
        <item x="302"/>
        <item x="291"/>
        <item x="336"/>
        <item x="161"/>
        <item x="249"/>
        <item x="57"/>
        <item x="306"/>
        <item x="14"/>
        <item x="168"/>
        <item x="245"/>
        <item x="156"/>
        <item x="107"/>
        <item x="89"/>
        <item x="155"/>
        <item x="23"/>
        <item x="178"/>
        <item x="48"/>
        <item x="66"/>
        <item x="103"/>
        <item x="128"/>
        <item x="127"/>
        <item x="287"/>
        <item x="191"/>
        <item x="71"/>
        <item x="182"/>
        <item x="225"/>
        <item x="116"/>
        <item x="283"/>
        <item x="163"/>
        <item x="22"/>
        <item x="211"/>
        <item x="185"/>
        <item x="105"/>
        <item x="231"/>
        <item x="232"/>
        <item x="59"/>
        <item x="333"/>
        <item x="327"/>
        <item x="1"/>
        <item x="250"/>
        <item x="187"/>
        <item x="175"/>
        <item x="299"/>
        <item x="323"/>
        <item x="220"/>
        <item x="58"/>
        <item x="77"/>
        <item x="12"/>
        <item x="27"/>
        <item x="131"/>
        <item x="78"/>
        <item x="201"/>
        <item x="9"/>
        <item x="244"/>
        <item x="289"/>
        <item x="98"/>
        <item x="153"/>
        <item x="311"/>
        <item x="32"/>
        <item x="36"/>
        <item x="69"/>
        <item x="254"/>
        <item x="44"/>
        <item x="318"/>
        <item x="207"/>
        <item x="108"/>
        <item x="21"/>
        <item x="90"/>
        <item x="174"/>
        <item x="101"/>
        <item x="115"/>
        <item x="241"/>
        <item x="43"/>
        <item x="151"/>
        <item x="60"/>
        <item x="177"/>
        <item x="34"/>
        <item x="257"/>
        <item x="315"/>
        <item x="255"/>
        <item x="262"/>
        <item x="95"/>
        <item x="338"/>
        <item x="141"/>
        <item x="282"/>
        <item x="139"/>
        <item x="122"/>
        <item x="208"/>
        <item x="130"/>
        <item x="73"/>
        <item x="147"/>
        <item x="317"/>
        <item x="31"/>
        <item x="64"/>
        <item x="40"/>
        <item x="135"/>
        <item x="54"/>
        <item x="67"/>
        <item x="41"/>
        <item x="272"/>
        <item x="216"/>
        <item x="117"/>
        <item x="133"/>
        <item x="146"/>
        <item x="240"/>
        <item x="324"/>
        <item x="230"/>
        <item x="102"/>
        <item x="49"/>
        <item x="309"/>
        <item x="265"/>
        <item x="170"/>
        <item x="197"/>
        <item x="194"/>
        <item x="213"/>
        <item x="335"/>
        <item x="123"/>
        <item x="7"/>
        <item x="149"/>
        <item x="215"/>
        <item x="179"/>
        <item x="274"/>
        <item x="159"/>
        <item x="158"/>
        <item x="314"/>
        <item x="307"/>
        <item x="183"/>
        <item x="277"/>
        <item x="150"/>
        <item x="209"/>
        <item x="180"/>
        <item x="124"/>
        <item x="148"/>
        <item x="45"/>
        <item x="97"/>
        <item x="164"/>
        <item x="219"/>
        <item x="288"/>
        <item x="137"/>
        <item x="304"/>
        <item x="308"/>
        <item x="223"/>
        <item x="203"/>
        <item x="18"/>
        <item x="276"/>
        <item x="16"/>
        <item x="293"/>
        <item x="246"/>
        <item x="169"/>
        <item x="229"/>
        <item x="104"/>
        <item x="166"/>
        <item x="239"/>
        <item x="35"/>
        <item x="120"/>
        <item x="284"/>
        <item x="273"/>
        <item x="39"/>
        <item x="243"/>
        <item x="345"/>
        <item x="132"/>
        <item x="172"/>
        <item x="328"/>
        <item x="294"/>
        <item x="143"/>
        <item x="37"/>
        <item x="5"/>
        <item x="81"/>
        <item x="70"/>
        <item x="322"/>
        <item x="237"/>
        <item x="162"/>
        <item x="206"/>
        <item x="84"/>
        <item x="83"/>
        <item x="121"/>
        <item x="79"/>
        <item x="118"/>
        <item x="72"/>
        <item t="default"/>
      </items>
    </pivotField>
    <pivotField showAll="0"/>
    <pivotField showAll="0"/>
    <pivotField showAll="0"/>
    <pivotField showAll="0"/>
    <pivotField axis="axisRow" showAll="0">
      <items count="31">
        <item x="12"/>
        <item x="28"/>
        <item x="25"/>
        <item x="29"/>
        <item x="27"/>
        <item x="2"/>
        <item x="11"/>
        <item x="26"/>
        <item x="18"/>
        <item x="22"/>
        <item x="15"/>
        <item x="14"/>
        <item x="19"/>
        <item x="3"/>
        <item x="21"/>
        <item x="23"/>
        <item x="17"/>
        <item x="0"/>
        <item x="24"/>
        <item x="5"/>
        <item x="10"/>
        <item x="4"/>
        <item x="16"/>
        <item x="8"/>
        <item x="1"/>
        <item x="6"/>
        <item x="9"/>
        <item x="13"/>
        <item x="20"/>
        <item x="7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Defect as percentage" fld="6" subtotal="average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A3DDF-D563-406E-A3E3-D36559FF487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382" firstHeaderRow="1" firstDataRow="1" firstDataCol="1"/>
  <pivotFields count="10">
    <pivotField axis="axisRow" numFmtId="164" showAll="0">
      <items count="347">
        <item x="65"/>
        <item x="125"/>
        <item x="222"/>
        <item x="51"/>
        <item x="93"/>
        <item x="342"/>
        <item x="258"/>
        <item x="271"/>
        <item x="285"/>
        <item x="6"/>
        <item x="29"/>
        <item x="337"/>
        <item x="251"/>
        <item x="110"/>
        <item x="113"/>
        <item x="61"/>
        <item x="140"/>
        <item x="221"/>
        <item x="247"/>
        <item x="281"/>
        <item x="91"/>
        <item x="261"/>
        <item x="303"/>
        <item x="114"/>
        <item x="256"/>
        <item x="292"/>
        <item x="86"/>
        <item x="227"/>
        <item x="310"/>
        <item x="33"/>
        <item x="99"/>
        <item x="94"/>
        <item x="330"/>
        <item x="4"/>
        <item x="325"/>
        <item x="63"/>
        <item x="145"/>
        <item x="13"/>
        <item x="56"/>
        <item x="331"/>
        <item x="136"/>
        <item x="119"/>
        <item x="15"/>
        <item x="0"/>
        <item x="233"/>
        <item x="68"/>
        <item x="3"/>
        <item x="235"/>
        <item x="173"/>
        <item x="266"/>
        <item x="312"/>
        <item x="316"/>
        <item x="228"/>
        <item x="8"/>
        <item x="190"/>
        <item x="198"/>
        <item x="295"/>
        <item x="313"/>
        <item x="270"/>
        <item x="96"/>
        <item x="184"/>
        <item x="17"/>
        <item x="111"/>
        <item x="100"/>
        <item x="290"/>
        <item x="196"/>
        <item x="204"/>
        <item x="205"/>
        <item x="296"/>
        <item x="210"/>
        <item x="226"/>
        <item x="236"/>
        <item x="326"/>
        <item x="278"/>
        <item x="92"/>
        <item x="260"/>
        <item x="142"/>
        <item x="26"/>
        <item x="74"/>
        <item x="238"/>
        <item x="46"/>
        <item x="138"/>
        <item x="259"/>
        <item x="280"/>
        <item x="339"/>
        <item x="264"/>
        <item x="189"/>
        <item x="199"/>
        <item x="88"/>
        <item x="321"/>
        <item x="38"/>
        <item x="267"/>
        <item x="24"/>
        <item x="242"/>
        <item x="301"/>
        <item x="195"/>
        <item x="112"/>
        <item x="75"/>
        <item x="188"/>
        <item x="332"/>
        <item x="62"/>
        <item x="129"/>
        <item x="224"/>
        <item x="10"/>
        <item x="87"/>
        <item x="126"/>
        <item x="181"/>
        <item x="340"/>
        <item x="154"/>
        <item x="252"/>
        <item x="234"/>
        <item x="248"/>
        <item x="109"/>
        <item x="171"/>
        <item x="167"/>
        <item x="319"/>
        <item x="134"/>
        <item x="52"/>
        <item x="144"/>
        <item x="42"/>
        <item x="279"/>
        <item x="186"/>
        <item x="80"/>
        <item x="30"/>
        <item x="218"/>
        <item x="268"/>
        <item x="344"/>
        <item x="160"/>
        <item x="214"/>
        <item x="300"/>
        <item x="176"/>
        <item x="305"/>
        <item x="76"/>
        <item x="2"/>
        <item x="320"/>
        <item x="47"/>
        <item x="25"/>
        <item x="193"/>
        <item x="157"/>
        <item x="253"/>
        <item x="329"/>
        <item x="275"/>
        <item x="106"/>
        <item x="192"/>
        <item x="82"/>
        <item x="212"/>
        <item x="263"/>
        <item x="217"/>
        <item x="298"/>
        <item x="19"/>
        <item x="28"/>
        <item x="50"/>
        <item x="165"/>
        <item x="286"/>
        <item x="269"/>
        <item x="341"/>
        <item x="200"/>
        <item x="11"/>
        <item x="343"/>
        <item x="85"/>
        <item x="55"/>
        <item x="334"/>
        <item x="297"/>
        <item x="20"/>
        <item x="53"/>
        <item x="152"/>
        <item x="202"/>
        <item x="302"/>
        <item x="291"/>
        <item x="336"/>
        <item x="161"/>
        <item x="249"/>
        <item x="57"/>
        <item x="306"/>
        <item x="14"/>
        <item x="168"/>
        <item x="245"/>
        <item x="156"/>
        <item x="107"/>
        <item x="89"/>
        <item x="155"/>
        <item x="23"/>
        <item x="178"/>
        <item x="48"/>
        <item x="66"/>
        <item x="103"/>
        <item x="128"/>
        <item x="127"/>
        <item x="287"/>
        <item x="191"/>
        <item x="71"/>
        <item x="182"/>
        <item x="225"/>
        <item x="116"/>
        <item x="283"/>
        <item x="163"/>
        <item x="22"/>
        <item x="211"/>
        <item x="185"/>
        <item x="105"/>
        <item x="231"/>
        <item x="232"/>
        <item x="59"/>
        <item x="333"/>
        <item x="327"/>
        <item x="1"/>
        <item x="250"/>
        <item x="187"/>
        <item x="175"/>
        <item x="299"/>
        <item x="323"/>
        <item x="220"/>
        <item x="58"/>
        <item x="77"/>
        <item x="12"/>
        <item x="27"/>
        <item x="131"/>
        <item x="78"/>
        <item x="201"/>
        <item x="9"/>
        <item x="244"/>
        <item x="289"/>
        <item x="98"/>
        <item x="153"/>
        <item x="311"/>
        <item x="32"/>
        <item x="36"/>
        <item x="69"/>
        <item x="254"/>
        <item x="44"/>
        <item x="318"/>
        <item x="207"/>
        <item x="108"/>
        <item x="21"/>
        <item x="90"/>
        <item x="174"/>
        <item x="101"/>
        <item x="115"/>
        <item x="241"/>
        <item x="43"/>
        <item x="151"/>
        <item x="60"/>
        <item x="177"/>
        <item x="34"/>
        <item x="257"/>
        <item x="315"/>
        <item x="255"/>
        <item x="262"/>
        <item x="95"/>
        <item x="338"/>
        <item x="141"/>
        <item x="282"/>
        <item x="139"/>
        <item x="122"/>
        <item x="208"/>
        <item x="130"/>
        <item x="73"/>
        <item x="147"/>
        <item x="317"/>
        <item x="31"/>
        <item x="64"/>
        <item x="40"/>
        <item x="135"/>
        <item x="54"/>
        <item x="67"/>
        <item x="41"/>
        <item x="272"/>
        <item x="216"/>
        <item x="117"/>
        <item x="133"/>
        <item x="146"/>
        <item x="240"/>
        <item x="324"/>
        <item x="230"/>
        <item x="102"/>
        <item x="49"/>
        <item x="309"/>
        <item x="265"/>
        <item x="170"/>
        <item x="197"/>
        <item x="194"/>
        <item x="213"/>
        <item x="335"/>
        <item x="123"/>
        <item x="7"/>
        <item x="149"/>
        <item x="215"/>
        <item x="179"/>
        <item x="274"/>
        <item x="159"/>
        <item x="158"/>
        <item x="314"/>
        <item x="307"/>
        <item x="183"/>
        <item x="277"/>
        <item x="150"/>
        <item x="209"/>
        <item x="180"/>
        <item x="124"/>
        <item x="148"/>
        <item x="45"/>
        <item x="97"/>
        <item x="164"/>
        <item x="219"/>
        <item x="288"/>
        <item x="137"/>
        <item x="304"/>
        <item x="308"/>
        <item x="223"/>
        <item x="203"/>
        <item x="18"/>
        <item x="276"/>
        <item x="16"/>
        <item x="293"/>
        <item x="246"/>
        <item x="169"/>
        <item x="229"/>
        <item x="104"/>
        <item x="166"/>
        <item x="239"/>
        <item x="35"/>
        <item x="120"/>
        <item x="284"/>
        <item x="273"/>
        <item x="39"/>
        <item x="243"/>
        <item x="345"/>
        <item x="132"/>
        <item x="172"/>
        <item x="328"/>
        <item x="294"/>
        <item x="143"/>
        <item x="37"/>
        <item x="5"/>
        <item x="81"/>
        <item x="70"/>
        <item x="322"/>
        <item x="237"/>
        <item x="162"/>
        <item x="206"/>
        <item x="84"/>
        <item x="83"/>
        <item x="121"/>
        <item x="79"/>
        <item x="118"/>
        <item x="7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4">
    <field x="9"/>
    <field x="8"/>
    <field x="7"/>
    <field x="0"/>
  </rowFields>
  <rowItems count="381">
    <i>
      <x v="1"/>
    </i>
    <i r="1">
      <x v="1"/>
    </i>
    <i r="2">
      <x v="1"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2">
      <x v="2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2">
      <x v="3"/>
    </i>
    <i r="3">
      <x v="30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1">
      <x v="2"/>
    </i>
    <i r="2">
      <x v="4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2">
      <x v="5"/>
    </i>
    <i r="3">
      <x v="53"/>
    </i>
    <i r="3">
      <x v="54"/>
    </i>
    <i r="3">
      <x v="55"/>
    </i>
    <i r="3">
      <x v="56"/>
    </i>
    <i r="3">
      <x v="57"/>
    </i>
    <i r="3">
      <x v="58"/>
    </i>
    <i r="3">
      <x v="59"/>
    </i>
    <i r="3">
      <x v="60"/>
    </i>
    <i r="3">
      <x v="61"/>
    </i>
    <i r="3">
      <x v="62"/>
    </i>
    <i r="3">
      <x v="63"/>
    </i>
    <i r="3">
      <x v="64"/>
    </i>
    <i r="3">
      <x v="65"/>
    </i>
    <i r="3">
      <x v="66"/>
    </i>
    <i r="3">
      <x v="67"/>
    </i>
    <i r="3">
      <x v="68"/>
    </i>
    <i r="3">
      <x v="69"/>
    </i>
    <i r="3">
      <x v="70"/>
    </i>
    <i r="2">
      <x v="6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3">
      <x v="81"/>
    </i>
    <i r="3">
      <x v="82"/>
    </i>
    <i r="3">
      <x v="83"/>
    </i>
    <i r="3">
      <x v="84"/>
    </i>
    <i r="3">
      <x v="85"/>
    </i>
    <i r="1">
      <x v="3"/>
    </i>
    <i r="2">
      <x v="7"/>
    </i>
    <i r="3">
      <x v="86"/>
    </i>
    <i r="3">
      <x v="87"/>
    </i>
    <i r="3">
      <x v="88"/>
    </i>
    <i r="3">
      <x v="89"/>
    </i>
    <i r="3">
      <x v="90"/>
    </i>
    <i r="3">
      <x v="91"/>
    </i>
    <i r="3">
      <x v="92"/>
    </i>
    <i r="3">
      <x v="93"/>
    </i>
    <i r="3">
      <x v="94"/>
    </i>
    <i r="3">
      <x v="95"/>
    </i>
    <i r="3">
      <x v="96"/>
    </i>
    <i r="3">
      <x v="97"/>
    </i>
    <i r="3">
      <x v="98"/>
    </i>
    <i r="3">
      <x v="99"/>
    </i>
    <i r="3">
      <x v="100"/>
    </i>
    <i r="3">
      <x v="101"/>
    </i>
    <i r="3">
      <x v="102"/>
    </i>
    <i r="2">
      <x v="8"/>
    </i>
    <i r="3">
      <x v="103"/>
    </i>
    <i r="3">
      <x v="104"/>
    </i>
    <i r="3">
      <x v="105"/>
    </i>
    <i r="3">
      <x v="106"/>
    </i>
    <i r="3">
      <x v="107"/>
    </i>
    <i r="3">
      <x v="108"/>
    </i>
    <i r="3">
      <x v="109"/>
    </i>
    <i r="3">
      <x v="110"/>
    </i>
    <i r="3">
      <x v="111"/>
    </i>
    <i r="3">
      <x v="112"/>
    </i>
    <i r="3">
      <x v="113"/>
    </i>
    <i r="3">
      <x v="114"/>
    </i>
    <i r="3">
      <x v="115"/>
    </i>
    <i r="3">
      <x v="116"/>
    </i>
    <i r="3">
      <x v="117"/>
    </i>
    <i r="3">
      <x v="118"/>
    </i>
    <i r="3">
      <x v="119"/>
    </i>
    <i r="2">
      <x v="9"/>
    </i>
    <i r="3">
      <x v="120"/>
    </i>
    <i r="3">
      <x v="121"/>
    </i>
    <i r="3">
      <x v="122"/>
    </i>
    <i r="3">
      <x v="123"/>
    </i>
    <i r="3">
      <x v="124"/>
    </i>
    <i r="3">
      <x v="125"/>
    </i>
    <i r="3">
      <x v="126"/>
    </i>
    <i r="3">
      <x v="127"/>
    </i>
    <i r="3">
      <x v="128"/>
    </i>
    <i r="3">
      <x v="129"/>
    </i>
    <i r="3">
      <x v="130"/>
    </i>
    <i r="3">
      <x v="131"/>
    </i>
    <i r="3">
      <x v="132"/>
    </i>
    <i r="3">
      <x v="133"/>
    </i>
    <i r="3">
      <x v="134"/>
    </i>
    <i r="3">
      <x v="135"/>
    </i>
    <i r="1">
      <x v="4"/>
    </i>
    <i r="2">
      <x v="10"/>
    </i>
    <i r="3">
      <x v="136"/>
    </i>
    <i r="3">
      <x v="137"/>
    </i>
    <i r="3">
      <x v="138"/>
    </i>
    <i r="3">
      <x v="139"/>
    </i>
    <i r="3">
      <x v="140"/>
    </i>
    <i r="3">
      <x v="141"/>
    </i>
    <i r="3">
      <x v="142"/>
    </i>
    <i r="3">
      <x v="143"/>
    </i>
    <i r="3">
      <x v="144"/>
    </i>
    <i r="3">
      <x v="145"/>
    </i>
    <i r="3">
      <x v="146"/>
    </i>
    <i r="3">
      <x v="147"/>
    </i>
    <i r="3">
      <x v="148"/>
    </i>
    <i r="2">
      <x v="11"/>
    </i>
    <i r="3">
      <x v="149"/>
    </i>
    <i r="3">
      <x v="150"/>
    </i>
    <i r="3">
      <x v="151"/>
    </i>
    <i r="3">
      <x v="152"/>
    </i>
    <i r="3">
      <x v="153"/>
    </i>
    <i r="3">
      <x v="154"/>
    </i>
    <i r="3">
      <x v="155"/>
    </i>
    <i r="3">
      <x v="156"/>
    </i>
    <i r="3">
      <x v="157"/>
    </i>
    <i r="2">
      <x v="12"/>
    </i>
    <i r="3">
      <x v="158"/>
    </i>
    <i r="3">
      <x v="159"/>
    </i>
    <i r="3">
      <x v="160"/>
    </i>
    <i r="3">
      <x v="161"/>
    </i>
    <i r="3">
      <x v="162"/>
    </i>
    <i r="3">
      <x v="163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3">
      <x v="171"/>
    </i>
    <i>
      <x v="2"/>
    </i>
    <i r="1">
      <x v="1"/>
    </i>
    <i r="2">
      <x v="1"/>
    </i>
    <i r="3">
      <x v="172"/>
    </i>
    <i r="3">
      <x v="173"/>
    </i>
    <i r="3">
      <x v="174"/>
    </i>
    <i r="3">
      <x v="175"/>
    </i>
    <i r="3">
      <x v="176"/>
    </i>
    <i r="3">
      <x v="177"/>
    </i>
    <i r="3">
      <x v="178"/>
    </i>
    <i r="3">
      <x v="179"/>
    </i>
    <i r="3">
      <x v="180"/>
    </i>
    <i r="3">
      <x v="181"/>
    </i>
    <i r="3">
      <x v="182"/>
    </i>
    <i r="3">
      <x v="183"/>
    </i>
    <i r="3">
      <x v="184"/>
    </i>
    <i r="3">
      <x v="185"/>
    </i>
    <i r="3">
      <x v="186"/>
    </i>
    <i r="2">
      <x v="2"/>
    </i>
    <i r="3">
      <x v="187"/>
    </i>
    <i r="3">
      <x v="188"/>
    </i>
    <i r="3">
      <x v="189"/>
    </i>
    <i r="3">
      <x v="190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2">
      <x v="3"/>
    </i>
    <i r="3">
      <x v="202"/>
    </i>
    <i r="3">
      <x v="203"/>
    </i>
    <i r="3">
      <x v="204"/>
    </i>
    <i r="3">
      <x v="205"/>
    </i>
    <i r="3">
      <x v="206"/>
    </i>
    <i r="3">
      <x v="207"/>
    </i>
    <i r="3">
      <x v="208"/>
    </i>
    <i r="3">
      <x v="209"/>
    </i>
    <i r="3">
      <x v="210"/>
    </i>
    <i r="3">
      <x v="211"/>
    </i>
    <i r="3">
      <x v="212"/>
    </i>
    <i r="3">
      <x v="213"/>
    </i>
    <i r="1">
      <x v="2"/>
    </i>
    <i r="2">
      <x v="4"/>
    </i>
    <i r="3">
      <x v="214"/>
    </i>
    <i r="3">
      <x v="215"/>
    </i>
    <i r="3">
      <x v="216"/>
    </i>
    <i r="3">
      <x v="217"/>
    </i>
    <i r="3">
      <x v="218"/>
    </i>
    <i r="3">
      <x v="219"/>
    </i>
    <i r="3">
      <x v="220"/>
    </i>
    <i r="3">
      <x v="221"/>
    </i>
    <i r="3">
      <x v="222"/>
    </i>
    <i r="3">
      <x v="223"/>
    </i>
    <i r="3">
      <x v="224"/>
    </i>
    <i r="3">
      <x v="225"/>
    </i>
    <i r="3">
      <x v="226"/>
    </i>
    <i r="3">
      <x v="227"/>
    </i>
    <i r="3">
      <x v="228"/>
    </i>
    <i r="3">
      <x v="229"/>
    </i>
    <i r="2">
      <x v="5"/>
    </i>
    <i r="3">
      <x v="230"/>
    </i>
    <i r="3">
      <x v="231"/>
    </i>
    <i r="3">
      <x v="232"/>
    </i>
    <i r="3">
      <x v="233"/>
    </i>
    <i r="3">
      <x v="234"/>
    </i>
    <i r="3">
      <x v="235"/>
    </i>
    <i r="3">
      <x v="236"/>
    </i>
    <i r="3">
      <x v="237"/>
    </i>
    <i r="3">
      <x v="238"/>
    </i>
    <i r="3">
      <x v="239"/>
    </i>
    <i r="3">
      <x v="240"/>
    </i>
    <i r="3">
      <x v="241"/>
    </i>
    <i r="3">
      <x v="242"/>
    </i>
    <i r="3">
      <x v="243"/>
    </i>
    <i r="3">
      <x v="244"/>
    </i>
    <i r="3">
      <x v="245"/>
    </i>
    <i r="3">
      <x v="246"/>
    </i>
    <i r="2">
      <x v="6"/>
    </i>
    <i r="3">
      <x v="247"/>
    </i>
    <i r="3">
      <x v="248"/>
    </i>
    <i r="3">
      <x v="249"/>
    </i>
    <i r="3">
      <x v="250"/>
    </i>
    <i r="3">
      <x v="251"/>
    </i>
    <i r="3">
      <x v="252"/>
    </i>
    <i r="3">
      <x v="253"/>
    </i>
    <i r="1">
      <x v="3"/>
    </i>
    <i r="2">
      <x v="7"/>
    </i>
    <i r="3">
      <x v="254"/>
    </i>
    <i r="3">
      <x v="255"/>
    </i>
    <i r="3">
      <x v="256"/>
    </i>
    <i r="3">
      <x v="257"/>
    </i>
    <i r="3">
      <x v="258"/>
    </i>
    <i r="3">
      <x v="259"/>
    </i>
    <i r="3">
      <x v="260"/>
    </i>
    <i r="3">
      <x v="261"/>
    </i>
    <i r="3">
      <x v="262"/>
    </i>
    <i r="3">
      <x v="263"/>
    </i>
    <i r="3">
      <x v="264"/>
    </i>
    <i r="3">
      <x v="265"/>
    </i>
    <i r="3">
      <x v="266"/>
    </i>
    <i r="3">
      <x v="267"/>
    </i>
    <i r="3">
      <x v="268"/>
    </i>
    <i r="3">
      <x v="269"/>
    </i>
    <i r="3">
      <x v="270"/>
    </i>
    <i r="2">
      <x v="8"/>
    </i>
    <i r="3">
      <x v="271"/>
    </i>
    <i r="3">
      <x v="272"/>
    </i>
    <i r="3">
      <x v="273"/>
    </i>
    <i r="3">
      <x v="274"/>
    </i>
    <i r="3">
      <x v="275"/>
    </i>
    <i r="3">
      <x v="276"/>
    </i>
    <i r="3">
      <x v="277"/>
    </i>
    <i r="3">
      <x v="278"/>
    </i>
    <i r="3">
      <x v="279"/>
    </i>
    <i r="2">
      <x v="9"/>
    </i>
    <i r="3">
      <x v="280"/>
    </i>
    <i r="3">
      <x v="281"/>
    </i>
    <i r="3">
      <x v="282"/>
    </i>
    <i r="3">
      <x v="283"/>
    </i>
    <i r="3">
      <x v="284"/>
    </i>
    <i r="3">
      <x v="285"/>
    </i>
    <i r="3">
      <x v="286"/>
    </i>
    <i r="3">
      <x v="287"/>
    </i>
    <i r="3">
      <x v="288"/>
    </i>
    <i r="3">
      <x v="289"/>
    </i>
    <i r="3">
      <x v="290"/>
    </i>
    <i r="3">
      <x v="291"/>
    </i>
    <i r="3">
      <x v="292"/>
    </i>
    <i r="3">
      <x v="293"/>
    </i>
    <i r="3">
      <x v="294"/>
    </i>
    <i r="1">
      <x v="4"/>
    </i>
    <i r="2">
      <x v="10"/>
    </i>
    <i r="3">
      <x v="295"/>
    </i>
    <i r="3">
      <x v="296"/>
    </i>
    <i r="3">
      <x v="297"/>
    </i>
    <i r="3">
      <x v="298"/>
    </i>
    <i r="3">
      <x v="299"/>
    </i>
    <i r="3">
      <x v="300"/>
    </i>
    <i r="3">
      <x v="301"/>
    </i>
    <i r="3">
      <x v="302"/>
    </i>
    <i r="3">
      <x v="303"/>
    </i>
    <i r="3">
      <x v="304"/>
    </i>
    <i r="3">
      <x v="305"/>
    </i>
    <i r="3">
      <x v="306"/>
    </i>
    <i r="3">
      <x v="307"/>
    </i>
    <i r="3">
      <x v="308"/>
    </i>
    <i r="3">
      <x v="309"/>
    </i>
    <i r="3">
      <x v="310"/>
    </i>
    <i r="3">
      <x v="311"/>
    </i>
    <i r="3">
      <x v="312"/>
    </i>
    <i r="3">
      <x v="313"/>
    </i>
    <i r="3">
      <x v="314"/>
    </i>
    <i r="2">
      <x v="11"/>
    </i>
    <i r="3">
      <x v="315"/>
    </i>
    <i r="3">
      <x v="316"/>
    </i>
    <i r="3">
      <x v="317"/>
    </i>
    <i r="3">
      <x v="318"/>
    </i>
    <i r="3">
      <x v="319"/>
    </i>
    <i r="3">
      <x v="320"/>
    </i>
    <i r="3">
      <x v="321"/>
    </i>
    <i r="3">
      <x v="322"/>
    </i>
    <i r="3">
      <x v="323"/>
    </i>
    <i r="3">
      <x v="324"/>
    </i>
    <i r="3">
      <x v="325"/>
    </i>
    <i r="3">
      <x v="326"/>
    </i>
    <i r="3">
      <x v="327"/>
    </i>
    <i r="3">
      <x v="328"/>
    </i>
    <i r="3">
      <x v="329"/>
    </i>
    <i r="3">
      <x v="330"/>
    </i>
    <i r="3">
      <x v="331"/>
    </i>
    <i r="3">
      <x v="332"/>
    </i>
    <i r="2">
      <x v="12"/>
    </i>
    <i r="3">
      <x v="333"/>
    </i>
    <i r="3">
      <x v="334"/>
    </i>
    <i r="3">
      <x v="335"/>
    </i>
    <i r="3">
      <x v="336"/>
    </i>
    <i r="3">
      <x v="337"/>
    </i>
    <i r="3">
      <x v="338"/>
    </i>
    <i r="3">
      <x v="339"/>
    </i>
    <i r="3">
      <x v="340"/>
    </i>
    <i r="3">
      <x v="341"/>
    </i>
    <i r="3">
      <x v="342"/>
    </i>
    <i r="3">
      <x v="343"/>
    </i>
    <i r="3">
      <x v="344"/>
    </i>
    <i r="3">
      <x v="345"/>
    </i>
    <i t="grand">
      <x/>
    </i>
  </rowItems>
  <colItems count="1">
    <i/>
  </colItems>
  <dataFields count="1">
    <dataField name="Average of Defect as percentage" fld="6" subtotal="average" baseField="9" baseItem="1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5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0" format="2">
      <pivotArea type="data" outline="0" fieldPosition="0">
        <references count="5">
          <reference field="4294967294" count="1" selected="0">
            <x v="0"/>
          </reference>
          <reference field="0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7" count="1" selected="0">
            <x v="2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0" format="4">
      <pivotArea type="data" outline="0" fieldPosition="0">
        <references count="5">
          <reference field="4294967294" count="1" selected="0">
            <x v="0"/>
          </reference>
          <reference field="0" count="1" selected="0">
            <x v="53"/>
          </reference>
          <reference field="7" count="1" selected="0">
            <x v="5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0" format="5">
      <pivotArea type="data" outline="0" fieldPosition="0">
        <references count="5">
          <reference field="4294967294" count="1" selected="0">
            <x v="0"/>
          </reference>
          <reference field="0" count="1" selected="0">
            <x v="58"/>
          </reference>
          <reference field="7" count="1" selected="0">
            <x v="5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0" format="6">
      <pivotArea type="data" outline="0" fieldPosition="0">
        <references count="5">
          <reference field="4294967294" count="1" selected="0">
            <x v="0"/>
          </reference>
          <reference field="0" count="1" selected="0">
            <x v="71"/>
          </reference>
          <reference field="7" count="1" selected="0">
            <x v="6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0" format="7">
      <pivotArea type="data" outline="0" fieldPosition="0">
        <references count="5">
          <reference field="4294967294" count="1" selected="0">
            <x v="0"/>
          </reference>
          <reference field="0" count="1" selected="0">
            <x v="81"/>
          </reference>
          <reference field="7" count="1" selected="0">
            <x v="6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0" format="8">
      <pivotArea type="data" outline="0" fieldPosition="0">
        <references count="5">
          <reference field="4294967294" count="1" selected="0">
            <x v="0"/>
          </reference>
          <reference field="0" count="1" selected="0">
            <x v="82"/>
          </reference>
          <reference field="7" count="1" selected="0">
            <x v="6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0" format="9">
      <pivotArea type="data" outline="0" fieldPosition="0">
        <references count="5">
          <reference field="4294967294" count="1" selected="0">
            <x v="0"/>
          </reference>
          <reference field="0" count="1" selected="0">
            <x v="87"/>
          </reference>
          <reference field="7" count="1" selected="0">
            <x v="7"/>
          </reference>
          <reference field="8" count="1" selected="0">
            <x v="3"/>
          </reference>
          <reference field="9" count="1" selected="0">
            <x v="1"/>
          </reference>
        </references>
      </pivotArea>
    </chartFormat>
    <chartFormat chart="0" format="10">
      <pivotArea type="data" outline="0" fieldPosition="0">
        <references count="5">
          <reference field="4294967294" count="1" selected="0">
            <x v="0"/>
          </reference>
          <reference field="0" count="1" selected="0">
            <x v="100"/>
          </reference>
          <reference field="7" count="1" selected="0">
            <x v="7"/>
          </reference>
          <reference field="8" count="1" selected="0">
            <x v="3"/>
          </reference>
          <reference field="9" count="1" selected="0">
            <x v="1"/>
          </reference>
        </references>
      </pivotArea>
    </chartFormat>
    <chartFormat chart="0" format="11">
      <pivotArea type="data" outline="0" fieldPosition="0">
        <references count="5">
          <reference field="4294967294" count="1" selected="0">
            <x v="0"/>
          </reference>
          <reference field="0" count="1" selected="0">
            <x v="162"/>
          </reference>
          <reference field="7" count="1" selected="0">
            <x v="12"/>
          </reference>
          <reference field="8" count="1" selected="0">
            <x v="4"/>
          </reference>
          <reference field="9" count="1" selected="0">
            <x v="1"/>
          </reference>
        </references>
      </pivotArea>
    </chartFormat>
    <chartFormat chart="0" format="12">
      <pivotArea type="data" outline="0" fieldPosition="0">
        <references count="5">
          <reference field="4294967294" count="1" selected="0">
            <x v="0"/>
          </reference>
          <reference field="0" count="1" selected="0">
            <x v="169"/>
          </reference>
          <reference field="7" count="1" selected="0">
            <x v="12"/>
          </reference>
          <reference field="8" count="1" selected="0">
            <x v="4"/>
          </reference>
          <reference field="9" count="1" selected="0">
            <x v="1"/>
          </reference>
        </references>
      </pivotArea>
    </chartFormat>
    <chartFormat chart="0" format="13">
      <pivotArea type="data" outline="0" fieldPosition="0">
        <references count="5">
          <reference field="4294967294" count="1" selected="0">
            <x v="0"/>
          </reference>
          <reference field="0" count="1" selected="0">
            <x v="175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2"/>
          </reference>
        </references>
      </pivotArea>
    </chartFormat>
    <chartFormat chart="0" format="14">
      <pivotArea type="data" outline="0" fieldPosition="0">
        <references count="5">
          <reference field="4294967294" count="1" selected="0">
            <x v="0"/>
          </reference>
          <reference field="0" count="1" selected="0">
            <x v="196"/>
          </reference>
          <reference field="7" count="1" selected="0">
            <x v="2"/>
          </reference>
          <reference field="8" count="1" selected="0">
            <x v="1"/>
          </reference>
          <reference field="9" count="1" selected="0">
            <x v="2"/>
          </reference>
        </references>
      </pivotArea>
    </chartFormat>
    <chartFormat chart="0" format="15">
      <pivotArea type="data" outline="0" fieldPosition="0">
        <references count="5">
          <reference field="4294967294" count="1" selected="0">
            <x v="0"/>
          </reference>
          <reference field="0" count="1" selected="0">
            <x v="228"/>
          </reference>
          <reference field="7" count="1" selected="0">
            <x v="4"/>
          </reference>
          <reference field="8" count="1" selected="0">
            <x v="2"/>
          </reference>
          <reference field="9" count="1" selected="0">
            <x v="2"/>
          </reference>
        </references>
      </pivotArea>
    </chartFormat>
    <chartFormat chart="0" format="16">
      <pivotArea type="data" outline="0" fieldPosition="0">
        <references count="5">
          <reference field="4294967294" count="1" selected="0">
            <x v="0"/>
          </reference>
          <reference field="0" count="1" selected="0">
            <x v="237"/>
          </reference>
          <reference field="7" count="1" selected="0">
            <x v="5"/>
          </reference>
          <reference field="8" count="1" selected="0">
            <x v="2"/>
          </reference>
          <reference field="9" count="1" selected="0">
            <x v="2"/>
          </reference>
        </references>
      </pivotArea>
    </chartFormat>
    <chartFormat chart="0" format="17">
      <pivotArea type="data" outline="0" fieldPosition="0">
        <references count="5">
          <reference field="4294967294" count="1" selected="0">
            <x v="0"/>
          </reference>
          <reference field="0" count="1" selected="0">
            <x v="238"/>
          </reference>
          <reference field="7" count="1" selected="0">
            <x v="5"/>
          </reference>
          <reference field="8" count="1" selected="0">
            <x v="2"/>
          </reference>
          <reference field="9" count="1" selected="0">
            <x v="2"/>
          </reference>
        </references>
      </pivotArea>
    </chartFormat>
    <chartFormat chart="0" format="18">
      <pivotArea type="data" outline="0" fieldPosition="0">
        <references count="5">
          <reference field="4294967294" count="1" selected="0">
            <x v="0"/>
          </reference>
          <reference field="0" count="1" selected="0">
            <x v="281"/>
          </reference>
          <reference field="7" count="1" selected="0">
            <x v="9"/>
          </reference>
          <reference field="8" count="1" selected="0">
            <x v="3"/>
          </reference>
          <reference field="9" count="1" selected="0">
            <x v="2"/>
          </reference>
        </references>
      </pivotArea>
    </chartFormat>
    <chartFormat chart="0" format="19">
      <pivotArea type="data" outline="0" fieldPosition="0">
        <references count="5">
          <reference field="4294967294" count="1" selected="0">
            <x v="0"/>
          </reference>
          <reference field="0" count="1" selected="0">
            <x v="297"/>
          </reference>
          <reference field="7" count="1" selected="0">
            <x v="10"/>
          </reference>
          <reference field="8" count="1" selected="0">
            <x v="4"/>
          </reference>
          <reference field="9" count="1" selected="0">
            <x v="2"/>
          </reference>
        </references>
      </pivotArea>
    </chartFormat>
    <chartFormat chart="0" format="20">
      <pivotArea type="data" outline="0" fieldPosition="0">
        <references count="5">
          <reference field="4294967294" count="1" selected="0">
            <x v="0"/>
          </reference>
          <reference field="0" count="1" selected="0">
            <x v="326"/>
          </reference>
          <reference field="7" count="1" selected="0">
            <x v="11"/>
          </reference>
          <reference field="8" count="1" selected="0">
            <x v="4"/>
          </reference>
          <reference field="9" count="1" selected="0">
            <x v="2"/>
          </reference>
        </references>
      </pivotArea>
    </chartFormat>
    <chartFormat chart="0" format="21">
      <pivotArea type="data" outline="0" fieldPosition="0">
        <references count="5">
          <reference field="4294967294" count="1" selected="0">
            <x v="0"/>
          </reference>
          <reference field="0" count="1" selected="0">
            <x v="329"/>
          </reference>
          <reference field="7" count="1" selected="0">
            <x v="11"/>
          </reference>
          <reference field="8" count="1" selected="0">
            <x v="4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AD2EB-F45B-4FC5-8ABC-A80AB09B68E6}" name="Table1" displayName="Table1" ref="A1:G501" totalsRowShown="0" headerRowDxfId="1">
  <autoFilter ref="A1:G501" xr:uid="{099AD2EB-F45B-4FC5-8ABC-A80AB09B68E6}"/>
  <sortState xmlns:xlrd2="http://schemas.microsoft.com/office/spreadsheetml/2017/richdata2" ref="A2:G501">
    <sortCondition ref="F1:F501"/>
  </sortState>
  <tableColumns count="7">
    <tableColumn id="1" xr3:uid="{E3D54F1E-7ADE-4F79-A9ED-9254268F44A4}" name="Production Date" dataDxfId="0"/>
    <tableColumn id="2" xr3:uid="{33FF148B-0CCA-47AA-AC7C-EB07E4F7284B}" name="Shift (A/B/C)"/>
    <tableColumn id="3" xr3:uid="{50F9E2CF-DC76-4A93-AA09-329F246EEBE7}" name="Machine ID"/>
    <tableColumn id="4" xr3:uid="{1EECE74B-CD25-4401-A6CE-978990775710}" name="Units Produced"/>
    <tableColumn id="5" xr3:uid="{44D25650-9FE5-4D08-9D0A-323D5DB08455}" name="Defective Units"/>
    <tableColumn id="6" xr3:uid="{746C5789-DAB4-421C-87C5-1ED694A98516}" name="Operator Name"/>
    <tableColumn id="7" xr3:uid="{852D9B25-C589-45BB-A41A-85344E881114}" name="Defect as percentage">
      <calculatedColumnFormula>(E2/D2)*100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opLeftCell="E119" zoomScale="80" workbookViewId="0">
      <selection activeCell="P11" sqref="P11"/>
    </sheetView>
  </sheetViews>
  <sheetFormatPr defaultRowHeight="14.5" x14ac:dyDescent="0.35"/>
  <cols>
    <col min="1" max="1" width="17.81640625" bestFit="1" customWidth="1"/>
    <col min="2" max="2" width="13.36328125" customWidth="1"/>
    <col min="3" max="3" width="12.26953125" customWidth="1"/>
    <col min="4" max="4" width="15.6328125" customWidth="1"/>
    <col min="5" max="5" width="15.453125" customWidth="1"/>
    <col min="6" max="6" width="18.54296875" bestFit="1" customWidth="1"/>
    <col min="7" max="7" width="20.36328125" customWidth="1"/>
    <col min="10" max="10" width="13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62</v>
      </c>
    </row>
    <row r="2" spans="1:11" x14ac:dyDescent="0.35">
      <c r="A2" s="2">
        <v>45614</v>
      </c>
      <c r="B2" t="s">
        <v>8</v>
      </c>
      <c r="C2" t="s">
        <v>9</v>
      </c>
      <c r="D2">
        <v>793</v>
      </c>
      <c r="E2">
        <v>9</v>
      </c>
      <c r="F2" t="s">
        <v>41</v>
      </c>
      <c r="G2">
        <f>(E2/D2)*100</f>
        <v>1.1349306431273645</v>
      </c>
      <c r="J2" t="s">
        <v>59</v>
      </c>
    </row>
    <row r="3" spans="1:11" x14ac:dyDescent="0.35">
      <c r="A3" s="2">
        <v>45609</v>
      </c>
      <c r="B3" t="s">
        <v>6</v>
      </c>
      <c r="C3" t="s">
        <v>19</v>
      </c>
      <c r="D3">
        <v>218</v>
      </c>
      <c r="E3">
        <v>3</v>
      </c>
      <c r="F3" t="s">
        <v>41</v>
      </c>
      <c r="G3">
        <f>(E3/D3)*100</f>
        <v>1.3761467889908259</v>
      </c>
      <c r="J3">
        <f>(SUM(E2:E301)/SUM(D2:D301)*100)</f>
        <v>4.4652643967277807</v>
      </c>
    </row>
    <row r="4" spans="1:11" x14ac:dyDescent="0.35">
      <c r="A4" s="2">
        <v>45975</v>
      </c>
      <c r="B4" t="s">
        <v>6</v>
      </c>
      <c r="C4" t="s">
        <v>27</v>
      </c>
      <c r="D4">
        <v>339</v>
      </c>
      <c r="E4">
        <v>6</v>
      </c>
      <c r="F4" t="s">
        <v>41</v>
      </c>
      <c r="G4">
        <f>(E4/D4)*100</f>
        <v>1.7699115044247788</v>
      </c>
      <c r="J4" t="s">
        <v>60</v>
      </c>
    </row>
    <row r="5" spans="1:11" x14ac:dyDescent="0.35">
      <c r="A5" s="2">
        <v>45842</v>
      </c>
      <c r="B5" t="s">
        <v>7</v>
      </c>
      <c r="C5" t="s">
        <v>20</v>
      </c>
      <c r="D5">
        <v>407</v>
      </c>
      <c r="E5">
        <v>15</v>
      </c>
      <c r="F5" t="s">
        <v>41</v>
      </c>
      <c r="G5">
        <f>(E5/D5)*100</f>
        <v>3.6855036855036856</v>
      </c>
      <c r="J5" t="s">
        <v>63</v>
      </c>
    </row>
    <row r="6" spans="1:11" x14ac:dyDescent="0.35">
      <c r="A6" s="2">
        <v>45494</v>
      </c>
      <c r="B6" t="s">
        <v>8</v>
      </c>
      <c r="C6" t="s">
        <v>23</v>
      </c>
      <c r="D6">
        <v>666</v>
      </c>
      <c r="E6">
        <v>25</v>
      </c>
      <c r="F6" t="s">
        <v>41</v>
      </c>
      <c r="G6">
        <f>(E6/D6)*100</f>
        <v>3.7537537537537538</v>
      </c>
    </row>
    <row r="7" spans="1:11" x14ac:dyDescent="0.35">
      <c r="A7" s="2">
        <v>45951</v>
      </c>
      <c r="B7" t="s">
        <v>8</v>
      </c>
      <c r="C7" t="s">
        <v>12</v>
      </c>
      <c r="D7">
        <v>718</v>
      </c>
      <c r="E7">
        <v>27</v>
      </c>
      <c r="F7" t="s">
        <v>41</v>
      </c>
      <c r="G7">
        <f>(E7/D7)*100</f>
        <v>3.7604456824512535</v>
      </c>
      <c r="J7" t="s">
        <v>61</v>
      </c>
    </row>
    <row r="8" spans="1:11" x14ac:dyDescent="0.35">
      <c r="A8" s="2">
        <v>45480</v>
      </c>
      <c r="B8" t="s">
        <v>7</v>
      </c>
      <c r="C8" t="s">
        <v>28</v>
      </c>
      <c r="D8">
        <v>638</v>
      </c>
      <c r="E8">
        <v>26</v>
      </c>
      <c r="F8" t="s">
        <v>41</v>
      </c>
      <c r="G8">
        <f>(E8/D8)*100</f>
        <v>4.0752351097178678</v>
      </c>
      <c r="J8" t="s">
        <v>64</v>
      </c>
    </row>
    <row r="9" spans="1:11" x14ac:dyDescent="0.35">
      <c r="A9" s="2">
        <v>45327</v>
      </c>
      <c r="B9" t="s">
        <v>8</v>
      </c>
      <c r="C9" t="s">
        <v>20</v>
      </c>
      <c r="D9">
        <v>456</v>
      </c>
      <c r="E9">
        <v>19</v>
      </c>
      <c r="F9" t="s">
        <v>41</v>
      </c>
      <c r="G9">
        <f>(E9/D9)*100</f>
        <v>4.1666666666666661</v>
      </c>
      <c r="J9" t="s">
        <v>70</v>
      </c>
    </row>
    <row r="10" spans="1:11" x14ac:dyDescent="0.35">
      <c r="A10" s="2">
        <v>45832</v>
      </c>
      <c r="B10" t="s">
        <v>8</v>
      </c>
      <c r="C10" t="s">
        <v>19</v>
      </c>
      <c r="D10">
        <v>610</v>
      </c>
      <c r="E10">
        <v>27</v>
      </c>
      <c r="F10" t="s">
        <v>41</v>
      </c>
      <c r="G10">
        <f>(E10/D10)*100</f>
        <v>4.4262295081967213</v>
      </c>
      <c r="J10" t="s">
        <v>71</v>
      </c>
    </row>
    <row r="11" spans="1:11" x14ac:dyDescent="0.35">
      <c r="A11" s="2">
        <v>45313</v>
      </c>
      <c r="B11" t="s">
        <v>8</v>
      </c>
      <c r="C11" t="s">
        <v>19</v>
      </c>
      <c r="D11">
        <v>996</v>
      </c>
      <c r="E11">
        <v>48</v>
      </c>
      <c r="F11" t="s">
        <v>41</v>
      </c>
      <c r="G11">
        <f>(E11/D11)*100</f>
        <v>4.8192771084337354</v>
      </c>
      <c r="J11" t="s">
        <v>72</v>
      </c>
    </row>
    <row r="12" spans="1:11" x14ac:dyDescent="0.35">
      <c r="A12" s="2">
        <v>45802</v>
      </c>
      <c r="B12" t="s">
        <v>6</v>
      </c>
      <c r="C12" t="s">
        <v>15</v>
      </c>
      <c r="D12">
        <v>381</v>
      </c>
      <c r="E12">
        <v>19</v>
      </c>
      <c r="F12" t="s">
        <v>41</v>
      </c>
      <c r="G12">
        <f>(E12/D12)*100</f>
        <v>4.9868766404199478</v>
      </c>
    </row>
    <row r="13" spans="1:11" x14ac:dyDescent="0.35">
      <c r="A13" s="2">
        <v>45684</v>
      </c>
      <c r="B13" t="s">
        <v>8</v>
      </c>
      <c r="C13" t="s">
        <v>15</v>
      </c>
      <c r="D13">
        <v>798</v>
      </c>
      <c r="E13">
        <v>40</v>
      </c>
      <c r="F13" t="s">
        <v>41</v>
      </c>
      <c r="G13">
        <f>(E13/D13)*100</f>
        <v>5.0125313283208017</v>
      </c>
    </row>
    <row r="14" spans="1:11" x14ac:dyDescent="0.35">
      <c r="A14" s="2">
        <v>45768</v>
      </c>
      <c r="B14" t="s">
        <v>7</v>
      </c>
      <c r="C14" t="s">
        <v>27</v>
      </c>
      <c r="D14">
        <v>253</v>
      </c>
      <c r="E14">
        <v>14</v>
      </c>
      <c r="F14" t="s">
        <v>41</v>
      </c>
      <c r="G14">
        <f>(E14/D14)*100</f>
        <v>5.5335968379446641</v>
      </c>
      <c r="J14" s="7" t="s">
        <v>69</v>
      </c>
    </row>
    <row r="15" spans="1:11" x14ac:dyDescent="0.35">
      <c r="A15" s="2">
        <v>45350</v>
      </c>
      <c r="B15" t="s">
        <v>7</v>
      </c>
      <c r="C15" t="s">
        <v>19</v>
      </c>
      <c r="D15">
        <v>269</v>
      </c>
      <c r="E15">
        <v>15</v>
      </c>
      <c r="F15" t="s">
        <v>41</v>
      </c>
      <c r="G15">
        <f>(E15/D15)*100</f>
        <v>5.5762081784386615</v>
      </c>
      <c r="J15" t="s">
        <v>64</v>
      </c>
    </row>
    <row r="16" spans="1:11" x14ac:dyDescent="0.35">
      <c r="A16" s="2">
        <v>45339</v>
      </c>
      <c r="B16" t="s">
        <v>8</v>
      </c>
      <c r="C16" t="s">
        <v>13</v>
      </c>
      <c r="D16">
        <v>521</v>
      </c>
      <c r="E16">
        <v>32</v>
      </c>
      <c r="F16" t="s">
        <v>41</v>
      </c>
      <c r="G16">
        <f>(E16/D16)*100</f>
        <v>6.1420345489443378</v>
      </c>
      <c r="J16" t="s">
        <v>7</v>
      </c>
      <c r="K16">
        <f>AVERAGEIF(Table1[Shift (A/B/C)],"A",Table1[Defect as percentage])</f>
        <v>4.3777290654610921</v>
      </c>
    </row>
    <row r="17" spans="1:11" x14ac:dyDescent="0.35">
      <c r="A17" s="2">
        <v>45670</v>
      </c>
      <c r="B17" t="s">
        <v>7</v>
      </c>
      <c r="C17" t="s">
        <v>16</v>
      </c>
      <c r="D17">
        <v>717</v>
      </c>
      <c r="E17">
        <v>55</v>
      </c>
      <c r="F17" t="s">
        <v>41</v>
      </c>
      <c r="G17">
        <f>(E17/D17)*100</f>
        <v>7.670850767085077</v>
      </c>
      <c r="J17" t="s">
        <v>6</v>
      </c>
      <c r="K17">
        <f>AVERAGEIF(Table1[Shift (A/B/C)],"B",Table1[Defect as percentage])</f>
        <v>4.1693375327510971</v>
      </c>
    </row>
    <row r="18" spans="1:11" x14ac:dyDescent="0.35">
      <c r="A18" s="2">
        <v>45600</v>
      </c>
      <c r="B18" t="s">
        <v>8</v>
      </c>
      <c r="C18" t="s">
        <v>15</v>
      </c>
      <c r="D18">
        <v>934</v>
      </c>
      <c r="E18">
        <v>74</v>
      </c>
      <c r="F18" t="s">
        <v>41</v>
      </c>
      <c r="G18">
        <f>(E18/D18)*100</f>
        <v>7.9229122055674521</v>
      </c>
      <c r="J18" t="s">
        <v>8</v>
      </c>
      <c r="K18">
        <f>AVERAGEIF(Table1[Shift (A/B/C)],"C",Table1[Defect as percentage])</f>
        <v>4.7360808413288522</v>
      </c>
    </row>
    <row r="19" spans="1:11" x14ac:dyDescent="0.35">
      <c r="A19" s="2">
        <v>45342</v>
      </c>
      <c r="B19" t="s">
        <v>7</v>
      </c>
      <c r="C19" t="s">
        <v>18</v>
      </c>
      <c r="D19">
        <v>505</v>
      </c>
      <c r="E19">
        <v>41</v>
      </c>
      <c r="F19" t="s">
        <v>41</v>
      </c>
      <c r="G19">
        <f>(E19/D19)*100</f>
        <v>8.1188118811881189</v>
      </c>
      <c r="J19" t="s">
        <v>68</v>
      </c>
      <c r="K19" t="str">
        <f>INDEX(J16:J18,MATCH(MAX(K16:K18),K16:K18))</f>
        <v>C</v>
      </c>
    </row>
    <row r="20" spans="1:11" x14ac:dyDescent="0.35">
      <c r="A20" s="2">
        <v>45293</v>
      </c>
      <c r="B20" t="s">
        <v>6</v>
      </c>
      <c r="C20" t="s">
        <v>27</v>
      </c>
      <c r="D20">
        <v>645</v>
      </c>
      <c r="E20">
        <v>53</v>
      </c>
      <c r="F20" t="s">
        <v>41</v>
      </c>
      <c r="G20">
        <f>(E20/D20)*100</f>
        <v>8.2170542635658919</v>
      </c>
    </row>
    <row r="21" spans="1:11" x14ac:dyDescent="0.35">
      <c r="A21" s="2">
        <v>45293</v>
      </c>
      <c r="B21" t="s">
        <v>8</v>
      </c>
      <c r="C21" t="s">
        <v>11</v>
      </c>
      <c r="D21">
        <v>339</v>
      </c>
      <c r="E21">
        <v>30</v>
      </c>
      <c r="F21" t="s">
        <v>41</v>
      </c>
      <c r="G21">
        <f>(E21/D21)*100</f>
        <v>8.8495575221238933</v>
      </c>
      <c r="J21" t="s">
        <v>92</v>
      </c>
    </row>
    <row r="22" spans="1:11" x14ac:dyDescent="0.35">
      <c r="A22" s="2">
        <v>45420</v>
      </c>
      <c r="B22" t="s">
        <v>6</v>
      </c>
      <c r="C22" t="s">
        <v>14</v>
      </c>
      <c r="D22">
        <v>725</v>
      </c>
      <c r="E22">
        <v>11</v>
      </c>
      <c r="F22" t="s">
        <v>57</v>
      </c>
      <c r="G22">
        <f>(E22/D22)*100</f>
        <v>1.5172413793103448</v>
      </c>
      <c r="J22" t="s">
        <v>94</v>
      </c>
    </row>
    <row r="23" spans="1:11" x14ac:dyDescent="0.35">
      <c r="A23" s="2">
        <v>45801</v>
      </c>
      <c r="B23" t="s">
        <v>6</v>
      </c>
      <c r="C23" t="s">
        <v>9</v>
      </c>
      <c r="D23">
        <v>770</v>
      </c>
      <c r="E23">
        <v>14</v>
      </c>
      <c r="F23" t="s">
        <v>57</v>
      </c>
      <c r="G23">
        <f>(E23/D23)*100</f>
        <v>1.8181818181818181</v>
      </c>
      <c r="K23" t="s">
        <v>93</v>
      </c>
    </row>
    <row r="24" spans="1:11" x14ac:dyDescent="0.35">
      <c r="A24" s="2">
        <v>45895</v>
      </c>
      <c r="B24" t="s">
        <v>6</v>
      </c>
      <c r="C24" t="s">
        <v>15</v>
      </c>
      <c r="D24">
        <v>914</v>
      </c>
      <c r="E24">
        <v>27</v>
      </c>
      <c r="F24" t="s">
        <v>57</v>
      </c>
      <c r="G24">
        <f>(E24/D24)*100</f>
        <v>2.9540481400437639</v>
      </c>
      <c r="J24" s="8" t="s">
        <v>51</v>
      </c>
      <c r="K24">
        <f>AVERAGEIF(Table1[Operator Name],J24,Table1[Defect as percentage])</f>
        <v>3.3166627561550328</v>
      </c>
    </row>
    <row r="25" spans="1:11" x14ac:dyDescent="0.35">
      <c r="A25" s="2">
        <v>45446</v>
      </c>
      <c r="B25" t="s">
        <v>7</v>
      </c>
      <c r="C25" t="s">
        <v>14</v>
      </c>
      <c r="D25">
        <v>494</v>
      </c>
      <c r="E25">
        <v>15</v>
      </c>
      <c r="F25" t="s">
        <v>57</v>
      </c>
      <c r="G25">
        <f>(E25/D25)*100</f>
        <v>3.0364372469635628</v>
      </c>
      <c r="J25" s="9" t="s">
        <v>49</v>
      </c>
      <c r="K25">
        <f>AVERAGEIF(Table1[Operator Name],J25,Table1[Defect as percentage])</f>
        <v>3.6870354672512775</v>
      </c>
    </row>
    <row r="26" spans="1:11" x14ac:dyDescent="0.35">
      <c r="A26" s="2">
        <v>45550</v>
      </c>
      <c r="B26" t="s">
        <v>8</v>
      </c>
      <c r="C26" t="s">
        <v>23</v>
      </c>
      <c r="D26">
        <v>283</v>
      </c>
      <c r="E26">
        <v>12</v>
      </c>
      <c r="F26" t="s">
        <v>57</v>
      </c>
      <c r="G26">
        <f>(E26/D26)*100</f>
        <v>4.2402826855123674</v>
      </c>
      <c r="J26" s="9" t="s">
        <v>57</v>
      </c>
      <c r="K26">
        <f>AVERAGEIF(Table1[Operator Name],J26,Table1[Defect as percentage])</f>
        <v>3.7922449759800503</v>
      </c>
    </row>
    <row r="27" spans="1:11" x14ac:dyDescent="0.35">
      <c r="A27" s="2">
        <v>45451</v>
      </c>
      <c r="B27" t="s">
        <v>8</v>
      </c>
      <c r="C27" t="s">
        <v>15</v>
      </c>
      <c r="D27">
        <v>427</v>
      </c>
      <c r="E27">
        <v>19</v>
      </c>
      <c r="F27" t="s">
        <v>57</v>
      </c>
      <c r="G27">
        <f>(E27/D27)*100</f>
        <v>4.4496487119437944</v>
      </c>
      <c r="J27" s="8" t="s">
        <v>44</v>
      </c>
      <c r="K27">
        <f>AVERAGEIF(Table1[Operator Name],J27,Table1[Defect as percentage])</f>
        <v>3.946740280970785</v>
      </c>
    </row>
    <row r="28" spans="1:11" x14ac:dyDescent="0.35">
      <c r="A28" s="2">
        <v>45968</v>
      </c>
      <c r="B28" t="s">
        <v>8</v>
      </c>
      <c r="C28" t="s">
        <v>21</v>
      </c>
      <c r="D28">
        <v>374</v>
      </c>
      <c r="E28">
        <v>17</v>
      </c>
      <c r="F28" t="s">
        <v>57</v>
      </c>
      <c r="G28">
        <f>(E28/D28)*100</f>
        <v>4.5454545454545459</v>
      </c>
      <c r="J28" s="9" t="s">
        <v>53</v>
      </c>
      <c r="K28">
        <f>AVERAGEIF(Table1[Operator Name],J28,Table1[Defect as percentage])</f>
        <v>3.9476915683697329</v>
      </c>
    </row>
    <row r="29" spans="1:11" x14ac:dyDescent="0.35">
      <c r="A29" s="2">
        <v>45763</v>
      </c>
      <c r="B29" t="s">
        <v>7</v>
      </c>
      <c r="C29" t="s">
        <v>19</v>
      </c>
      <c r="D29">
        <v>960</v>
      </c>
      <c r="E29">
        <v>51</v>
      </c>
      <c r="F29" t="s">
        <v>57</v>
      </c>
      <c r="G29">
        <f>(E29/D29)*100</f>
        <v>5.3125</v>
      </c>
      <c r="J29" s="8" t="s">
        <v>35</v>
      </c>
      <c r="K29">
        <f>AVERAGEIF(Table1[Operator Name],J29,Table1[Defect as percentage])</f>
        <v>3.9809901753649135</v>
      </c>
    </row>
    <row r="30" spans="1:11" x14ac:dyDescent="0.35">
      <c r="A30" s="2">
        <v>45900</v>
      </c>
      <c r="B30" t="s">
        <v>6</v>
      </c>
      <c r="C30" t="s">
        <v>13</v>
      </c>
      <c r="D30">
        <v>975</v>
      </c>
      <c r="E30">
        <v>61</v>
      </c>
      <c r="F30" t="s">
        <v>57</v>
      </c>
      <c r="G30">
        <f>(E30/D30)*100</f>
        <v>6.2564102564102564</v>
      </c>
      <c r="J30" s="9" t="s">
        <v>58</v>
      </c>
      <c r="K30">
        <f>AVERAGEIF(Table1[Operator Name],J30,Table1[Defect as percentage])</f>
        <v>4.0062175303044878</v>
      </c>
    </row>
    <row r="31" spans="1:11" x14ac:dyDescent="0.35">
      <c r="A31" s="2">
        <v>45676</v>
      </c>
      <c r="B31" t="s">
        <v>7</v>
      </c>
      <c r="C31" t="s">
        <v>22</v>
      </c>
      <c r="D31">
        <v>787</v>
      </c>
      <c r="E31">
        <v>13</v>
      </c>
      <c r="F31" t="s">
        <v>54</v>
      </c>
      <c r="G31">
        <f>(E31/D31)*100</f>
        <v>1.6518424396442184</v>
      </c>
      <c r="J31" s="9" t="s">
        <v>52</v>
      </c>
      <c r="K31">
        <f>AVERAGEIF(Table1[Operator Name],J31,Table1[Defect as percentage])</f>
        <v>4.0269189606307272</v>
      </c>
    </row>
    <row r="32" spans="1:11" x14ac:dyDescent="0.35">
      <c r="A32" s="2">
        <v>46019</v>
      </c>
      <c r="B32" t="s">
        <v>6</v>
      </c>
      <c r="C32" t="s">
        <v>12</v>
      </c>
      <c r="D32">
        <v>844</v>
      </c>
      <c r="E32">
        <v>17</v>
      </c>
      <c r="F32" t="s">
        <v>54</v>
      </c>
      <c r="G32">
        <f>(E32/D32)*100</f>
        <v>2.014218009478673</v>
      </c>
      <c r="J32" s="8" t="s">
        <v>39</v>
      </c>
      <c r="K32">
        <f>AVERAGEIF(Table1[Operator Name],J32,Table1[Defect as percentage])</f>
        <v>4.2112280287937214</v>
      </c>
    </row>
    <row r="33" spans="1:11" x14ac:dyDescent="0.35">
      <c r="A33" s="2">
        <v>45452</v>
      </c>
      <c r="B33" t="s">
        <v>6</v>
      </c>
      <c r="C33" t="s">
        <v>22</v>
      </c>
      <c r="D33">
        <v>559</v>
      </c>
      <c r="E33">
        <v>17</v>
      </c>
      <c r="F33" t="s">
        <v>54</v>
      </c>
      <c r="G33">
        <f>(E33/D33)*100</f>
        <v>3.0411449016100178</v>
      </c>
      <c r="J33" s="9" t="s">
        <v>37</v>
      </c>
      <c r="K33">
        <f>AVERAGEIF(Table1[Operator Name],J33,Table1[Defect as percentage])</f>
        <v>4.2645266345827464</v>
      </c>
    </row>
    <row r="34" spans="1:11" x14ac:dyDescent="0.35">
      <c r="A34" s="2">
        <v>45308</v>
      </c>
      <c r="B34" t="s">
        <v>7</v>
      </c>
      <c r="C34" t="s">
        <v>26</v>
      </c>
      <c r="D34">
        <v>365</v>
      </c>
      <c r="E34">
        <v>12</v>
      </c>
      <c r="F34" t="s">
        <v>54</v>
      </c>
      <c r="G34">
        <f>(E34/D34)*100</f>
        <v>3.2876712328767121</v>
      </c>
      <c r="J34" s="8" t="s">
        <v>34</v>
      </c>
      <c r="K34">
        <f>AVERAGEIF(Table1[Operator Name],J34,Table1[Defect as percentage])</f>
        <v>4.2741410303452287</v>
      </c>
    </row>
    <row r="35" spans="1:11" x14ac:dyDescent="0.35">
      <c r="A35" s="2">
        <v>45857</v>
      </c>
      <c r="B35" t="s">
        <v>6</v>
      </c>
      <c r="C35" t="s">
        <v>12</v>
      </c>
      <c r="D35">
        <v>353</v>
      </c>
      <c r="E35">
        <v>15</v>
      </c>
      <c r="F35" t="s">
        <v>54</v>
      </c>
      <c r="G35">
        <f>(E35/D35)*100</f>
        <v>4.2492917847025495</v>
      </c>
      <c r="J35" s="9" t="s">
        <v>43</v>
      </c>
      <c r="K35">
        <f>AVERAGEIF(Table1[Operator Name],J35,Table1[Defect as percentage])</f>
        <v>4.3188474796253971</v>
      </c>
    </row>
    <row r="36" spans="1:11" x14ac:dyDescent="0.35">
      <c r="A36" s="2">
        <v>45328</v>
      </c>
      <c r="B36" t="s">
        <v>7</v>
      </c>
      <c r="C36" t="s">
        <v>21</v>
      </c>
      <c r="D36">
        <v>509</v>
      </c>
      <c r="E36">
        <v>26</v>
      </c>
      <c r="F36" t="s">
        <v>54</v>
      </c>
      <c r="G36">
        <f>(E36/D36)*100</f>
        <v>5.1080550098231825</v>
      </c>
      <c r="J36" s="8" t="s">
        <v>43</v>
      </c>
      <c r="K36">
        <f>AVERAGEIF(Table1[Operator Name],J36,Table1[Defect as percentage])</f>
        <v>4.3188474796253971</v>
      </c>
    </row>
    <row r="37" spans="1:11" x14ac:dyDescent="0.35">
      <c r="A37" s="2">
        <v>45990</v>
      </c>
      <c r="B37" t="s">
        <v>7</v>
      </c>
      <c r="C37" t="s">
        <v>15</v>
      </c>
      <c r="D37">
        <v>214</v>
      </c>
      <c r="E37">
        <v>11</v>
      </c>
      <c r="F37" t="s">
        <v>54</v>
      </c>
      <c r="G37">
        <f>(E37/D37)*100</f>
        <v>5.1401869158878499</v>
      </c>
      <c r="J37" s="9" t="s">
        <v>48</v>
      </c>
      <c r="K37">
        <f>AVERAGEIF(Table1[Operator Name],J37,Table1[Defect as percentage])</f>
        <v>4.3581106545456665</v>
      </c>
    </row>
    <row r="38" spans="1:11" x14ac:dyDescent="0.35">
      <c r="A38" s="2">
        <v>45797</v>
      </c>
      <c r="B38" t="s">
        <v>7</v>
      </c>
      <c r="C38" t="s">
        <v>17</v>
      </c>
      <c r="D38">
        <v>545</v>
      </c>
      <c r="E38">
        <v>29</v>
      </c>
      <c r="F38" t="s">
        <v>54</v>
      </c>
      <c r="G38">
        <f>(E38/D38)*100</f>
        <v>5.3211009174311927</v>
      </c>
      <c r="J38" s="8" t="s">
        <v>32</v>
      </c>
      <c r="K38">
        <f>AVERAGEIF(Table1[Operator Name],J38,Table1[Defect as percentage])</f>
        <v>4.3586143961731372</v>
      </c>
    </row>
    <row r="39" spans="1:11" x14ac:dyDescent="0.35">
      <c r="A39" s="2">
        <v>45330</v>
      </c>
      <c r="B39" t="s">
        <v>7</v>
      </c>
      <c r="C39" t="s">
        <v>12</v>
      </c>
      <c r="D39">
        <v>822</v>
      </c>
      <c r="E39">
        <v>44</v>
      </c>
      <c r="F39" t="s">
        <v>54</v>
      </c>
      <c r="G39">
        <f>(E39/D39)*100</f>
        <v>5.3527980535279802</v>
      </c>
      <c r="J39" s="8" t="s">
        <v>29</v>
      </c>
      <c r="K39">
        <f>AVERAGEIF(Table1[Operator Name],J39,Table1[Defect as percentage])</f>
        <v>4.4083272466300372</v>
      </c>
    </row>
    <row r="40" spans="1:11" x14ac:dyDescent="0.35">
      <c r="A40" s="2">
        <v>45845</v>
      </c>
      <c r="B40" t="s">
        <v>6</v>
      </c>
      <c r="C40" t="s">
        <v>20</v>
      </c>
      <c r="D40">
        <v>997</v>
      </c>
      <c r="E40">
        <v>54</v>
      </c>
      <c r="F40" t="s">
        <v>54</v>
      </c>
      <c r="G40">
        <f>(E40/D40)*100</f>
        <v>5.4162487462387157</v>
      </c>
      <c r="J40" s="8" t="s">
        <v>40</v>
      </c>
      <c r="K40">
        <f>AVERAGEIF(Table1[Operator Name],J40,Table1[Defect as percentage])</f>
        <v>4.4196195588547305</v>
      </c>
    </row>
    <row r="41" spans="1:11" x14ac:dyDescent="0.35">
      <c r="A41" s="2">
        <v>45616</v>
      </c>
      <c r="B41" t="s">
        <v>7</v>
      </c>
      <c r="C41" t="s">
        <v>24</v>
      </c>
      <c r="D41">
        <v>665</v>
      </c>
      <c r="E41">
        <v>38</v>
      </c>
      <c r="F41" t="s">
        <v>54</v>
      </c>
      <c r="G41">
        <f>(E41/D41)*100</f>
        <v>5.7142857142857144</v>
      </c>
      <c r="J41" s="9" t="s">
        <v>38</v>
      </c>
      <c r="K41">
        <f>AVERAGEIF(Table1[Operator Name],J41,Table1[Defect as percentage])</f>
        <v>4.4232986616352852</v>
      </c>
    </row>
    <row r="42" spans="1:11" x14ac:dyDescent="0.35">
      <c r="A42" s="2">
        <v>45614</v>
      </c>
      <c r="B42" t="s">
        <v>7</v>
      </c>
      <c r="C42" t="s">
        <v>18</v>
      </c>
      <c r="D42">
        <v>924</v>
      </c>
      <c r="E42">
        <v>64</v>
      </c>
      <c r="F42" t="s">
        <v>54</v>
      </c>
      <c r="G42">
        <f>(E42/D42)*100</f>
        <v>6.9264069264069263</v>
      </c>
      <c r="J42" s="8" t="s">
        <v>47</v>
      </c>
      <c r="K42">
        <f>AVERAGEIF(Table1[Operator Name],J42,Table1[Defect as percentage])</f>
        <v>4.4361154935923164</v>
      </c>
    </row>
    <row r="43" spans="1:11" x14ac:dyDescent="0.35">
      <c r="A43" s="2">
        <v>45902</v>
      </c>
      <c r="B43" t="s">
        <v>8</v>
      </c>
      <c r="C43" t="s">
        <v>24</v>
      </c>
      <c r="D43">
        <v>947</v>
      </c>
      <c r="E43">
        <v>86</v>
      </c>
      <c r="F43" t="s">
        <v>54</v>
      </c>
      <c r="G43">
        <f>(E43/D43)*100</f>
        <v>9.0813093980992612</v>
      </c>
      <c r="J43" s="8" t="s">
        <v>31</v>
      </c>
      <c r="K43">
        <f>AVERAGEIF(Table1[Operator Name],J43,Table1[Defect as percentage])</f>
        <v>4.5437653064202035</v>
      </c>
    </row>
    <row r="44" spans="1:11" x14ac:dyDescent="0.35">
      <c r="A44" s="2">
        <v>45991</v>
      </c>
      <c r="B44" t="s">
        <v>7</v>
      </c>
      <c r="C44" t="s">
        <v>25</v>
      </c>
      <c r="D44">
        <v>714</v>
      </c>
      <c r="E44">
        <v>7</v>
      </c>
      <c r="F44" t="s">
        <v>58</v>
      </c>
      <c r="G44">
        <f>(E44/D44)*100</f>
        <v>0.98039215686274506</v>
      </c>
      <c r="J44" s="8" t="s">
        <v>45</v>
      </c>
      <c r="K44">
        <f>AVERAGEIF(Table1[Operator Name],J44,Table1[Defect as percentage])</f>
        <v>4.6192548093960033</v>
      </c>
    </row>
    <row r="45" spans="1:11" x14ac:dyDescent="0.35">
      <c r="A45" s="2">
        <v>45948</v>
      </c>
      <c r="B45" t="s">
        <v>7</v>
      </c>
      <c r="C45" t="s">
        <v>10</v>
      </c>
      <c r="D45">
        <v>220</v>
      </c>
      <c r="E45">
        <v>3</v>
      </c>
      <c r="F45" t="s">
        <v>58</v>
      </c>
      <c r="G45">
        <f>(E45/D45)*100</f>
        <v>1.3636363636363635</v>
      </c>
      <c r="J45" s="9" t="s">
        <v>36</v>
      </c>
      <c r="K45">
        <f>AVERAGEIF(Table1[Operator Name],J45,Table1[Defect as percentage])</f>
        <v>4.6938393253287378</v>
      </c>
    </row>
    <row r="46" spans="1:11" x14ac:dyDescent="0.35">
      <c r="A46" s="2">
        <v>45753</v>
      </c>
      <c r="B46" t="s">
        <v>7</v>
      </c>
      <c r="C46" t="s">
        <v>14</v>
      </c>
      <c r="D46">
        <v>460</v>
      </c>
      <c r="E46">
        <v>8</v>
      </c>
      <c r="F46" t="s">
        <v>58</v>
      </c>
      <c r="G46">
        <f>(E46/D46)*100</f>
        <v>1.7391304347826086</v>
      </c>
      <c r="J46" s="8" t="s">
        <v>54</v>
      </c>
      <c r="K46">
        <f>AVERAGEIF(Table1[Operator Name],J46,Table1[Defect as percentage])</f>
        <v>4.7926584653856148</v>
      </c>
    </row>
    <row r="47" spans="1:11" x14ac:dyDescent="0.35">
      <c r="A47" s="2">
        <v>45848</v>
      </c>
      <c r="B47" t="s">
        <v>8</v>
      </c>
      <c r="C47" t="s">
        <v>15</v>
      </c>
      <c r="D47">
        <v>749</v>
      </c>
      <c r="E47">
        <v>18</v>
      </c>
      <c r="F47" t="s">
        <v>58</v>
      </c>
      <c r="G47">
        <f>(E47/D47)*100</f>
        <v>2.4032042723631508</v>
      </c>
      <c r="J47" s="9" t="s">
        <v>30</v>
      </c>
      <c r="K47">
        <f>AVERAGEIF(Table1[Operator Name],J47,Table1[Defect as percentage])</f>
        <v>4.8386217902293343</v>
      </c>
    </row>
    <row r="48" spans="1:11" x14ac:dyDescent="0.35">
      <c r="A48" s="2">
        <v>45776</v>
      </c>
      <c r="B48" t="s">
        <v>7</v>
      </c>
      <c r="C48" t="s">
        <v>25</v>
      </c>
      <c r="D48">
        <v>815</v>
      </c>
      <c r="E48">
        <v>21</v>
      </c>
      <c r="F48" t="s">
        <v>58</v>
      </c>
      <c r="G48">
        <f>(E48/D48)*100</f>
        <v>2.5766871165644174</v>
      </c>
      <c r="J48" s="9" t="s">
        <v>56</v>
      </c>
      <c r="K48">
        <f>AVERAGEIF(Table1[Operator Name],J48,Table1[Defect as percentage])</f>
        <v>4.8488523017188045</v>
      </c>
    </row>
    <row r="49" spans="1:11" x14ac:dyDescent="0.35">
      <c r="A49" s="2">
        <v>45764</v>
      </c>
      <c r="B49" t="s">
        <v>6</v>
      </c>
      <c r="C49" t="s">
        <v>27</v>
      </c>
      <c r="D49">
        <v>860</v>
      </c>
      <c r="E49">
        <v>36</v>
      </c>
      <c r="F49" t="s">
        <v>58</v>
      </c>
      <c r="G49">
        <f>(E49/D49)*100</f>
        <v>4.1860465116279073</v>
      </c>
      <c r="J49" s="9" t="s">
        <v>33</v>
      </c>
      <c r="K49">
        <f>AVERAGEIF(Table1[Operator Name],J49,Table1[Defect as percentage])</f>
        <v>4.8893145590206322</v>
      </c>
    </row>
    <row r="50" spans="1:11" x14ac:dyDescent="0.35">
      <c r="A50" s="2">
        <v>45956</v>
      </c>
      <c r="B50" t="s">
        <v>8</v>
      </c>
      <c r="C50" t="s">
        <v>27</v>
      </c>
      <c r="D50">
        <v>383</v>
      </c>
      <c r="E50">
        <v>17</v>
      </c>
      <c r="F50" t="s">
        <v>58</v>
      </c>
      <c r="G50">
        <f>(E50/D50)*100</f>
        <v>4.4386422976501301</v>
      </c>
      <c r="J50" s="8" t="s">
        <v>55</v>
      </c>
      <c r="K50">
        <f>AVERAGEIF(Table1[Operator Name],J50,Table1[Defect as percentage])</f>
        <v>4.9459110439750296</v>
      </c>
    </row>
    <row r="51" spans="1:11" x14ac:dyDescent="0.35">
      <c r="A51" s="2">
        <v>45589</v>
      </c>
      <c r="B51" t="s">
        <v>7</v>
      </c>
      <c r="C51" t="s">
        <v>17</v>
      </c>
      <c r="D51">
        <v>444</v>
      </c>
      <c r="E51">
        <v>20</v>
      </c>
      <c r="F51" t="s">
        <v>58</v>
      </c>
      <c r="G51">
        <f>(E51/D51)*100</f>
        <v>4.5045045045045047</v>
      </c>
      <c r="J51" s="9" t="s">
        <v>46</v>
      </c>
      <c r="K51">
        <f>AVERAGEIF(Table1[Operator Name],J51,Table1[Defect as percentage])</f>
        <v>4.9900658433700142</v>
      </c>
    </row>
    <row r="52" spans="1:11" x14ac:dyDescent="0.35">
      <c r="A52" s="2">
        <v>45684</v>
      </c>
      <c r="B52" t="s">
        <v>8</v>
      </c>
      <c r="C52" t="s">
        <v>20</v>
      </c>
      <c r="D52">
        <v>787</v>
      </c>
      <c r="E52">
        <v>36</v>
      </c>
      <c r="F52" t="s">
        <v>58</v>
      </c>
      <c r="G52">
        <f>(E52/D52)*100</f>
        <v>4.5743329097839895</v>
      </c>
      <c r="J52" s="9" t="s">
        <v>50</v>
      </c>
      <c r="K52">
        <f>AVERAGEIF(Table1[Operator Name],J52,Table1[Defect as percentage])</f>
        <v>5.0005493009475881</v>
      </c>
    </row>
    <row r="53" spans="1:11" x14ac:dyDescent="0.35">
      <c r="A53" s="2">
        <v>45411</v>
      </c>
      <c r="B53" t="s">
        <v>6</v>
      </c>
      <c r="C53" t="s">
        <v>20</v>
      </c>
      <c r="D53">
        <v>316</v>
      </c>
      <c r="E53">
        <v>19</v>
      </c>
      <c r="F53" t="s">
        <v>58</v>
      </c>
      <c r="G53">
        <f>(E53/D53)*100</f>
        <v>6.0126582278481013</v>
      </c>
      <c r="J53" s="9" t="s">
        <v>50</v>
      </c>
      <c r="K53">
        <f>AVERAGEIF(Table1[Operator Name],J53,Table1[Defect as percentage])</f>
        <v>5.0005493009475881</v>
      </c>
    </row>
    <row r="54" spans="1:11" x14ac:dyDescent="0.35">
      <c r="A54" s="2">
        <v>45735</v>
      </c>
      <c r="B54" t="s">
        <v>8</v>
      </c>
      <c r="C54" t="s">
        <v>20</v>
      </c>
      <c r="D54">
        <v>774</v>
      </c>
      <c r="E54">
        <v>57</v>
      </c>
      <c r="F54" t="s">
        <v>58</v>
      </c>
      <c r="G54">
        <f>(E54/D54)*100</f>
        <v>7.3643410852713185</v>
      </c>
      <c r="J54" s="9" t="s">
        <v>41</v>
      </c>
      <c r="K54">
        <f>AVERAGEIF(Table1[Operator Name],J54,Table1[Defect as percentage])</f>
        <v>5.049926731243275</v>
      </c>
    </row>
    <row r="55" spans="1:11" x14ac:dyDescent="0.35">
      <c r="A55" s="2">
        <v>45344</v>
      </c>
      <c r="B55" t="s">
        <v>7</v>
      </c>
      <c r="C55" t="s">
        <v>13</v>
      </c>
      <c r="D55">
        <v>580</v>
      </c>
      <c r="E55">
        <v>46</v>
      </c>
      <c r="F55" t="s">
        <v>58</v>
      </c>
      <c r="G55">
        <f>(E55/D55)*100</f>
        <v>7.931034482758621</v>
      </c>
      <c r="J55" s="8" t="s">
        <v>42</v>
      </c>
      <c r="K55">
        <f>AVERAGEIF(Table1[Operator Name],J55,Table1[Defect as percentage])</f>
        <v>5.2452801038555874</v>
      </c>
    </row>
    <row r="56" spans="1:11" x14ac:dyDescent="0.35">
      <c r="A56" s="2">
        <v>45448</v>
      </c>
      <c r="B56" t="s">
        <v>7</v>
      </c>
      <c r="C56" t="s">
        <v>14</v>
      </c>
      <c r="D56">
        <v>247</v>
      </c>
      <c r="E56">
        <v>3</v>
      </c>
      <c r="F56" t="s">
        <v>56</v>
      </c>
      <c r="G56">
        <f>(E56/D56)*100</f>
        <v>1.214574898785425</v>
      </c>
    </row>
    <row r="57" spans="1:11" x14ac:dyDescent="0.35">
      <c r="A57" s="2">
        <v>45755</v>
      </c>
      <c r="B57" t="s">
        <v>7</v>
      </c>
      <c r="C57" t="s">
        <v>13</v>
      </c>
      <c r="D57">
        <v>600</v>
      </c>
      <c r="E57">
        <v>14</v>
      </c>
      <c r="F57" t="s">
        <v>56</v>
      </c>
      <c r="G57">
        <f>(E57/D57)*100</f>
        <v>2.3333333333333335</v>
      </c>
    </row>
    <row r="58" spans="1:11" x14ac:dyDescent="0.35">
      <c r="A58" s="2">
        <v>45801</v>
      </c>
      <c r="B58" t="s">
        <v>7</v>
      </c>
      <c r="C58" t="s">
        <v>19</v>
      </c>
      <c r="D58">
        <v>908</v>
      </c>
      <c r="E58">
        <v>26</v>
      </c>
      <c r="F58" t="s">
        <v>56</v>
      </c>
      <c r="G58">
        <f>(E58/D58)*100</f>
        <v>2.8634361233480177</v>
      </c>
      <c r="J58" s="7" t="s">
        <v>73</v>
      </c>
    </row>
    <row r="59" spans="1:11" x14ac:dyDescent="0.35">
      <c r="A59" s="2">
        <v>45924</v>
      </c>
      <c r="B59" t="s">
        <v>6</v>
      </c>
      <c r="C59" t="s">
        <v>13</v>
      </c>
      <c r="D59">
        <v>376</v>
      </c>
      <c r="E59">
        <v>21</v>
      </c>
      <c r="F59" t="s">
        <v>56</v>
      </c>
      <c r="G59">
        <f>(E59/D59)*100</f>
        <v>5.5851063829787231</v>
      </c>
      <c r="J59" s="13" t="s">
        <v>96</v>
      </c>
    </row>
    <row r="60" spans="1:11" x14ac:dyDescent="0.35">
      <c r="A60" s="2">
        <v>45499</v>
      </c>
      <c r="B60" t="s">
        <v>6</v>
      </c>
      <c r="C60" t="s">
        <v>27</v>
      </c>
      <c r="D60">
        <v>889</v>
      </c>
      <c r="E60">
        <v>51</v>
      </c>
      <c r="F60" t="s">
        <v>56</v>
      </c>
      <c r="G60">
        <f>(E60/D60)*100</f>
        <v>5.7367829021372332</v>
      </c>
      <c r="J60" t="s">
        <v>97</v>
      </c>
    </row>
    <row r="61" spans="1:11" x14ac:dyDescent="0.35">
      <c r="A61" s="2">
        <v>45385</v>
      </c>
      <c r="B61" t="s">
        <v>6</v>
      </c>
      <c r="C61" t="s">
        <v>16</v>
      </c>
      <c r="D61">
        <v>359</v>
      </c>
      <c r="E61">
        <v>21</v>
      </c>
      <c r="F61" t="s">
        <v>56</v>
      </c>
      <c r="G61">
        <f>(E61/D61)*100</f>
        <v>5.8495821727019495</v>
      </c>
      <c r="J61" t="s">
        <v>98</v>
      </c>
    </row>
    <row r="62" spans="1:11" x14ac:dyDescent="0.35">
      <c r="A62" s="2">
        <v>45408</v>
      </c>
      <c r="B62" t="s">
        <v>6</v>
      </c>
      <c r="C62" t="s">
        <v>12</v>
      </c>
      <c r="D62">
        <v>305</v>
      </c>
      <c r="E62">
        <v>18</v>
      </c>
      <c r="F62" t="s">
        <v>56</v>
      </c>
      <c r="G62">
        <f>(E62/D62)*100</f>
        <v>5.9016393442622954</v>
      </c>
    </row>
    <row r="63" spans="1:11" x14ac:dyDescent="0.35">
      <c r="A63" s="2">
        <v>45319</v>
      </c>
      <c r="B63" t="s">
        <v>6</v>
      </c>
      <c r="C63" t="s">
        <v>14</v>
      </c>
      <c r="D63">
        <v>822</v>
      </c>
      <c r="E63">
        <v>52</v>
      </c>
      <c r="F63" t="s">
        <v>56</v>
      </c>
      <c r="G63">
        <f>(E63/D63)*100</f>
        <v>6.3260340632603409</v>
      </c>
    </row>
    <row r="64" spans="1:11" x14ac:dyDescent="0.35">
      <c r="A64" s="2">
        <v>45454</v>
      </c>
      <c r="B64" t="s">
        <v>7</v>
      </c>
      <c r="C64" t="s">
        <v>21</v>
      </c>
      <c r="D64">
        <v>281</v>
      </c>
      <c r="E64">
        <v>22</v>
      </c>
      <c r="F64" t="s">
        <v>56</v>
      </c>
      <c r="G64">
        <f>(E64/D64)*100</f>
        <v>7.8291814946619214</v>
      </c>
    </row>
    <row r="65" spans="1:10" x14ac:dyDescent="0.35">
      <c r="A65" s="2">
        <v>45451</v>
      </c>
      <c r="B65" t="s">
        <v>8</v>
      </c>
      <c r="C65" t="s">
        <v>18</v>
      </c>
      <c r="D65">
        <v>529</v>
      </c>
      <c r="E65">
        <v>6</v>
      </c>
      <c r="F65" t="s">
        <v>31</v>
      </c>
      <c r="G65">
        <f>(E65/D65)*100</f>
        <v>1.1342155009451798</v>
      </c>
    </row>
    <row r="66" spans="1:10" x14ac:dyDescent="0.35">
      <c r="A66" s="2">
        <v>45390</v>
      </c>
      <c r="B66" t="s">
        <v>6</v>
      </c>
      <c r="C66" t="s">
        <v>14</v>
      </c>
      <c r="D66">
        <v>986</v>
      </c>
      <c r="E66">
        <v>26</v>
      </c>
      <c r="F66" t="s">
        <v>31</v>
      </c>
      <c r="G66">
        <f>(E66/D66)*100</f>
        <v>2.6369168356997972</v>
      </c>
    </row>
    <row r="67" spans="1:10" x14ac:dyDescent="0.35">
      <c r="A67" s="2">
        <v>45418</v>
      </c>
      <c r="B67" t="s">
        <v>7</v>
      </c>
      <c r="C67" t="s">
        <v>19</v>
      </c>
      <c r="D67">
        <v>788</v>
      </c>
      <c r="E67">
        <v>23</v>
      </c>
      <c r="F67" t="s">
        <v>31</v>
      </c>
      <c r="G67">
        <f>(E67/D67)*100</f>
        <v>2.9187817258883251</v>
      </c>
    </row>
    <row r="68" spans="1:10" x14ac:dyDescent="0.35">
      <c r="A68" s="2">
        <v>45607</v>
      </c>
      <c r="B68" t="s">
        <v>7</v>
      </c>
      <c r="C68" t="s">
        <v>18</v>
      </c>
      <c r="D68">
        <v>931</v>
      </c>
      <c r="E68">
        <v>28</v>
      </c>
      <c r="F68" t="s">
        <v>31</v>
      </c>
      <c r="G68">
        <f>(E68/D68)*100</f>
        <v>3.007518796992481</v>
      </c>
    </row>
    <row r="69" spans="1:10" x14ac:dyDescent="0.35">
      <c r="A69" s="2">
        <v>45766</v>
      </c>
      <c r="B69" t="s">
        <v>8</v>
      </c>
      <c r="C69" t="s">
        <v>26</v>
      </c>
      <c r="D69">
        <v>329</v>
      </c>
      <c r="E69">
        <v>10</v>
      </c>
      <c r="F69" t="s">
        <v>31</v>
      </c>
      <c r="G69">
        <f>(E69/D69)*100</f>
        <v>3.0395136778115504</v>
      </c>
    </row>
    <row r="70" spans="1:10" x14ac:dyDescent="0.35">
      <c r="A70" s="2">
        <v>45345</v>
      </c>
      <c r="B70" t="s">
        <v>6</v>
      </c>
      <c r="C70" t="s">
        <v>10</v>
      </c>
      <c r="D70">
        <v>816</v>
      </c>
      <c r="E70">
        <v>26</v>
      </c>
      <c r="F70" t="s">
        <v>31</v>
      </c>
      <c r="G70">
        <f>(E70/D70)*100</f>
        <v>3.1862745098039214</v>
      </c>
    </row>
    <row r="71" spans="1:10" x14ac:dyDescent="0.35">
      <c r="A71" s="2">
        <v>45509</v>
      </c>
      <c r="B71" t="s">
        <v>6</v>
      </c>
      <c r="C71" t="s">
        <v>16</v>
      </c>
      <c r="D71">
        <v>749</v>
      </c>
      <c r="E71">
        <v>26</v>
      </c>
      <c r="F71" t="s">
        <v>31</v>
      </c>
      <c r="G71">
        <f>(E71/D71)*100</f>
        <v>3.4712950600801067</v>
      </c>
    </row>
    <row r="72" spans="1:10" x14ac:dyDescent="0.35">
      <c r="A72" s="2">
        <v>45414</v>
      </c>
      <c r="B72" t="s">
        <v>7</v>
      </c>
      <c r="C72" t="s">
        <v>21</v>
      </c>
      <c r="D72">
        <v>353</v>
      </c>
      <c r="E72">
        <v>13</v>
      </c>
      <c r="F72" t="s">
        <v>31</v>
      </c>
      <c r="G72">
        <f>(E72/D72)*100</f>
        <v>3.6827195467422094</v>
      </c>
    </row>
    <row r="73" spans="1:10" x14ac:dyDescent="0.35">
      <c r="A73" s="2">
        <v>46002</v>
      </c>
      <c r="B73" t="s">
        <v>6</v>
      </c>
      <c r="C73" t="s">
        <v>12</v>
      </c>
      <c r="D73">
        <v>370</v>
      </c>
      <c r="E73">
        <v>14</v>
      </c>
      <c r="F73" t="s">
        <v>31</v>
      </c>
      <c r="G73">
        <f>(E73/D73)*100</f>
        <v>3.7837837837837842</v>
      </c>
    </row>
    <row r="74" spans="1:10" x14ac:dyDescent="0.35">
      <c r="A74" s="2">
        <v>45574</v>
      </c>
      <c r="B74" t="s">
        <v>8</v>
      </c>
      <c r="C74" t="s">
        <v>14</v>
      </c>
      <c r="D74">
        <v>379</v>
      </c>
      <c r="E74">
        <v>18</v>
      </c>
      <c r="F74" t="s">
        <v>31</v>
      </c>
      <c r="G74">
        <f>(E74/D74)*100</f>
        <v>4.7493403693931393</v>
      </c>
      <c r="J74" s="7" t="s">
        <v>99</v>
      </c>
    </row>
    <row r="75" spans="1:10" x14ac:dyDescent="0.35">
      <c r="A75" s="2">
        <v>45612</v>
      </c>
      <c r="B75" t="s">
        <v>8</v>
      </c>
      <c r="C75" t="s">
        <v>20</v>
      </c>
      <c r="D75">
        <v>403</v>
      </c>
      <c r="E75">
        <v>21</v>
      </c>
      <c r="F75" t="s">
        <v>31</v>
      </c>
      <c r="G75">
        <f>(E75/D75)*100</f>
        <v>5.2109181141439205</v>
      </c>
      <c r="J75" t="s">
        <v>100</v>
      </c>
    </row>
    <row r="76" spans="1:10" x14ac:dyDescent="0.35">
      <c r="A76" s="2">
        <v>45498</v>
      </c>
      <c r="B76" t="s">
        <v>8</v>
      </c>
      <c r="C76" t="s">
        <v>10</v>
      </c>
      <c r="D76">
        <v>519</v>
      </c>
      <c r="E76">
        <v>31</v>
      </c>
      <c r="F76" t="s">
        <v>31</v>
      </c>
      <c r="G76">
        <f>(E76/D76)*100</f>
        <v>5.973025048169557</v>
      </c>
      <c r="J76" t="s">
        <v>101</v>
      </c>
    </row>
    <row r="77" spans="1:10" x14ac:dyDescent="0.35">
      <c r="A77" s="2">
        <v>45562</v>
      </c>
      <c r="B77" t="s">
        <v>7</v>
      </c>
      <c r="C77" t="s">
        <v>11</v>
      </c>
      <c r="D77">
        <v>367</v>
      </c>
      <c r="E77">
        <v>22</v>
      </c>
      <c r="F77" t="s">
        <v>31</v>
      </c>
      <c r="G77">
        <f>(E77/D77)*100</f>
        <v>5.9945504087193457</v>
      </c>
    </row>
    <row r="78" spans="1:10" x14ac:dyDescent="0.35">
      <c r="A78" s="2">
        <v>45568</v>
      </c>
      <c r="B78" t="s">
        <v>8</v>
      </c>
      <c r="C78" t="s">
        <v>10</v>
      </c>
      <c r="D78">
        <v>611</v>
      </c>
      <c r="E78">
        <v>41</v>
      </c>
      <c r="F78" t="s">
        <v>31</v>
      </c>
      <c r="G78">
        <f>(E78/D78)*100</f>
        <v>6.7103109656301143</v>
      </c>
    </row>
    <row r="79" spans="1:10" x14ac:dyDescent="0.35">
      <c r="A79" s="2">
        <v>45698</v>
      </c>
      <c r="B79" t="s">
        <v>6</v>
      </c>
      <c r="C79" t="s">
        <v>26</v>
      </c>
      <c r="D79">
        <v>773</v>
      </c>
      <c r="E79">
        <v>59</v>
      </c>
      <c r="F79" t="s">
        <v>31</v>
      </c>
      <c r="G79">
        <f>(E79/D79)*100</f>
        <v>7.6326002587322126</v>
      </c>
    </row>
    <row r="80" spans="1:10" x14ac:dyDescent="0.35">
      <c r="A80" s="2">
        <v>45689</v>
      </c>
      <c r="B80" t="s">
        <v>8</v>
      </c>
      <c r="C80" t="s">
        <v>27</v>
      </c>
      <c r="D80">
        <v>533</v>
      </c>
      <c r="E80">
        <v>51</v>
      </c>
      <c r="F80" t="s">
        <v>31</v>
      </c>
      <c r="G80">
        <f>(E80/D80)*100</f>
        <v>9.568480300187618</v>
      </c>
    </row>
    <row r="81" spans="1:7" x14ac:dyDescent="0.35">
      <c r="A81" s="2">
        <v>45383</v>
      </c>
      <c r="B81" t="s">
        <v>8</v>
      </c>
      <c r="C81" t="s">
        <v>14</v>
      </c>
      <c r="D81">
        <v>204</v>
      </c>
      <c r="E81">
        <v>2</v>
      </c>
      <c r="F81" t="s">
        <v>40</v>
      </c>
      <c r="G81">
        <f>(E81/D81)*100</f>
        <v>0.98039215686274506</v>
      </c>
    </row>
    <row r="82" spans="1:7" x14ac:dyDescent="0.35">
      <c r="A82" s="2">
        <v>45367</v>
      </c>
      <c r="B82" t="s">
        <v>8</v>
      </c>
      <c r="C82" t="s">
        <v>9</v>
      </c>
      <c r="D82">
        <v>708</v>
      </c>
      <c r="E82">
        <v>7</v>
      </c>
      <c r="F82" t="s">
        <v>40</v>
      </c>
      <c r="G82">
        <f>(E82/D82)*100</f>
        <v>0.98870056497175152</v>
      </c>
    </row>
    <row r="83" spans="1:7" x14ac:dyDescent="0.35">
      <c r="A83" s="2">
        <v>45677</v>
      </c>
      <c r="B83" t="s">
        <v>7</v>
      </c>
      <c r="C83" t="s">
        <v>10</v>
      </c>
      <c r="D83">
        <v>238</v>
      </c>
      <c r="E83">
        <v>3</v>
      </c>
      <c r="F83" t="s">
        <v>40</v>
      </c>
      <c r="G83">
        <f>(E83/D83)*100</f>
        <v>1.2605042016806722</v>
      </c>
    </row>
    <row r="84" spans="1:7" x14ac:dyDescent="0.35">
      <c r="A84" s="2">
        <v>45966</v>
      </c>
      <c r="B84" t="s">
        <v>8</v>
      </c>
      <c r="C84" t="s">
        <v>28</v>
      </c>
      <c r="D84">
        <v>981</v>
      </c>
      <c r="E84">
        <v>23</v>
      </c>
      <c r="F84" t="s">
        <v>40</v>
      </c>
      <c r="G84">
        <f>(E84/D84)*100</f>
        <v>2.3445463812436289</v>
      </c>
    </row>
    <row r="85" spans="1:7" x14ac:dyDescent="0.35">
      <c r="A85" s="2">
        <v>45973</v>
      </c>
      <c r="B85" t="s">
        <v>8</v>
      </c>
      <c r="C85" t="s">
        <v>14</v>
      </c>
      <c r="D85">
        <v>859</v>
      </c>
      <c r="E85">
        <v>24</v>
      </c>
      <c r="F85" t="s">
        <v>40</v>
      </c>
      <c r="G85">
        <f>(E85/D85)*100</f>
        <v>2.7939464493597206</v>
      </c>
    </row>
    <row r="86" spans="1:7" x14ac:dyDescent="0.35">
      <c r="A86" s="2">
        <v>45645</v>
      </c>
      <c r="B86" t="s">
        <v>6</v>
      </c>
      <c r="C86" t="s">
        <v>10</v>
      </c>
      <c r="D86">
        <v>689</v>
      </c>
      <c r="E86">
        <v>25</v>
      </c>
      <c r="F86" t="s">
        <v>40</v>
      </c>
      <c r="G86">
        <f>(E86/D86)*100</f>
        <v>3.6284470246734397</v>
      </c>
    </row>
    <row r="87" spans="1:7" x14ac:dyDescent="0.35">
      <c r="A87" s="2">
        <v>45953</v>
      </c>
      <c r="B87" t="s">
        <v>6</v>
      </c>
      <c r="C87" t="s">
        <v>20</v>
      </c>
      <c r="D87">
        <v>275</v>
      </c>
      <c r="E87">
        <v>12</v>
      </c>
      <c r="F87" t="s">
        <v>40</v>
      </c>
      <c r="G87">
        <f>(E87/D87)*100</f>
        <v>4.3636363636363642</v>
      </c>
    </row>
    <row r="88" spans="1:7" x14ac:dyDescent="0.35">
      <c r="A88" s="2">
        <v>45533</v>
      </c>
      <c r="B88" t="s">
        <v>8</v>
      </c>
      <c r="C88" t="s">
        <v>13</v>
      </c>
      <c r="D88">
        <v>923</v>
      </c>
      <c r="E88">
        <v>41</v>
      </c>
      <c r="F88" t="s">
        <v>40</v>
      </c>
      <c r="G88">
        <f>(E88/D88)*100</f>
        <v>4.4420368364030338</v>
      </c>
    </row>
    <row r="89" spans="1:7" x14ac:dyDescent="0.35">
      <c r="A89" s="2">
        <v>45744</v>
      </c>
      <c r="B89" t="s">
        <v>6</v>
      </c>
      <c r="C89" t="s">
        <v>15</v>
      </c>
      <c r="D89">
        <v>761</v>
      </c>
      <c r="E89">
        <v>36</v>
      </c>
      <c r="F89" t="s">
        <v>40</v>
      </c>
      <c r="G89">
        <f>(E89/D89)*100</f>
        <v>4.7306176084099869</v>
      </c>
    </row>
    <row r="90" spans="1:7" x14ac:dyDescent="0.35">
      <c r="A90" s="2">
        <v>45803</v>
      </c>
      <c r="B90" t="s">
        <v>7</v>
      </c>
      <c r="C90" t="s">
        <v>24</v>
      </c>
      <c r="D90">
        <v>519</v>
      </c>
      <c r="E90">
        <v>25</v>
      </c>
      <c r="F90" t="s">
        <v>40</v>
      </c>
      <c r="G90">
        <f>(E90/D90)*100</f>
        <v>4.8169556840077075</v>
      </c>
    </row>
    <row r="91" spans="1:7" x14ac:dyDescent="0.35">
      <c r="A91" s="2">
        <v>45752</v>
      </c>
      <c r="B91" t="s">
        <v>7</v>
      </c>
      <c r="C91" t="s">
        <v>26</v>
      </c>
      <c r="D91">
        <v>578</v>
      </c>
      <c r="E91">
        <v>39</v>
      </c>
      <c r="F91" t="s">
        <v>40</v>
      </c>
      <c r="G91">
        <f>(E91/D91)*100</f>
        <v>6.7474048442906582</v>
      </c>
    </row>
    <row r="92" spans="1:7" x14ac:dyDescent="0.35">
      <c r="A92" s="2">
        <v>45415</v>
      </c>
      <c r="B92" t="s">
        <v>7</v>
      </c>
      <c r="C92" t="s">
        <v>18</v>
      </c>
      <c r="D92">
        <v>736</v>
      </c>
      <c r="E92">
        <v>58</v>
      </c>
      <c r="F92" t="s">
        <v>40</v>
      </c>
      <c r="G92">
        <f>(E92/D92)*100</f>
        <v>7.8804347826086962</v>
      </c>
    </row>
    <row r="93" spans="1:7" x14ac:dyDescent="0.35">
      <c r="A93" s="2">
        <v>45387</v>
      </c>
      <c r="B93" t="s">
        <v>7</v>
      </c>
      <c r="C93" t="s">
        <v>25</v>
      </c>
      <c r="D93">
        <v>758</v>
      </c>
      <c r="E93">
        <v>61</v>
      </c>
      <c r="F93" t="s">
        <v>40</v>
      </c>
      <c r="G93">
        <f>(E93/D93)*100</f>
        <v>8.047493403693931</v>
      </c>
    </row>
    <row r="94" spans="1:7" x14ac:dyDescent="0.35">
      <c r="A94" s="2">
        <v>45694</v>
      </c>
      <c r="B94" t="s">
        <v>8</v>
      </c>
      <c r="C94" t="s">
        <v>9</v>
      </c>
      <c r="D94">
        <v>226</v>
      </c>
      <c r="E94">
        <v>20</v>
      </c>
      <c r="F94" t="s">
        <v>40</v>
      </c>
      <c r="G94">
        <f>(E94/D94)*100</f>
        <v>8.8495575221238933</v>
      </c>
    </row>
    <row r="95" spans="1:7" x14ac:dyDescent="0.35">
      <c r="A95" s="2">
        <v>45426</v>
      </c>
      <c r="B95" t="s">
        <v>6</v>
      </c>
      <c r="C95" t="s">
        <v>18</v>
      </c>
      <c r="D95">
        <v>723</v>
      </c>
      <c r="E95">
        <v>11</v>
      </c>
      <c r="F95" t="s">
        <v>55</v>
      </c>
      <c r="G95">
        <f>(E95/D95)*100</f>
        <v>1.5214384508990317</v>
      </c>
    </row>
    <row r="96" spans="1:7" x14ac:dyDescent="0.35">
      <c r="A96" s="2">
        <v>45872</v>
      </c>
      <c r="B96" t="s">
        <v>6</v>
      </c>
      <c r="C96" t="s">
        <v>15</v>
      </c>
      <c r="D96">
        <v>854</v>
      </c>
      <c r="E96">
        <v>18</v>
      </c>
      <c r="F96" t="s">
        <v>55</v>
      </c>
      <c r="G96">
        <f>(E96/D96)*100</f>
        <v>2.1077283372365341</v>
      </c>
    </row>
    <row r="97" spans="1:7" x14ac:dyDescent="0.35">
      <c r="A97" s="2">
        <v>45516</v>
      </c>
      <c r="B97" t="s">
        <v>8</v>
      </c>
      <c r="C97" t="s">
        <v>22</v>
      </c>
      <c r="D97">
        <v>216</v>
      </c>
      <c r="E97">
        <v>8</v>
      </c>
      <c r="F97" t="s">
        <v>55</v>
      </c>
      <c r="G97">
        <f>(E97/D97)*100</f>
        <v>3.7037037037037033</v>
      </c>
    </row>
    <row r="98" spans="1:7" x14ac:dyDescent="0.35">
      <c r="A98" s="2">
        <v>45587</v>
      </c>
      <c r="B98" t="s">
        <v>7</v>
      </c>
      <c r="C98" t="s">
        <v>25</v>
      </c>
      <c r="D98">
        <v>294</v>
      </c>
      <c r="E98">
        <v>12</v>
      </c>
      <c r="F98" t="s">
        <v>55</v>
      </c>
      <c r="G98">
        <f>(E98/D98)*100</f>
        <v>4.0816326530612246</v>
      </c>
    </row>
    <row r="99" spans="1:7" x14ac:dyDescent="0.35">
      <c r="A99" s="2">
        <v>45733</v>
      </c>
      <c r="B99" t="s">
        <v>6</v>
      </c>
      <c r="C99" t="s">
        <v>28</v>
      </c>
      <c r="D99">
        <v>960</v>
      </c>
      <c r="E99">
        <v>41</v>
      </c>
      <c r="F99" t="s">
        <v>55</v>
      </c>
      <c r="G99">
        <f>(E99/D99)*100</f>
        <v>4.270833333333333</v>
      </c>
    </row>
    <row r="100" spans="1:7" x14ac:dyDescent="0.35">
      <c r="A100" s="2">
        <v>45554</v>
      </c>
      <c r="B100" t="s">
        <v>6</v>
      </c>
      <c r="C100" t="s">
        <v>10</v>
      </c>
      <c r="D100">
        <v>558</v>
      </c>
      <c r="E100">
        <v>29</v>
      </c>
      <c r="F100" t="s">
        <v>55</v>
      </c>
      <c r="G100">
        <f>(E100/D100)*100</f>
        <v>5.1971326164874547</v>
      </c>
    </row>
    <row r="101" spans="1:7" x14ac:dyDescent="0.35">
      <c r="A101" s="2">
        <v>45973</v>
      </c>
      <c r="B101" t="s">
        <v>8</v>
      </c>
      <c r="C101" t="s">
        <v>21</v>
      </c>
      <c r="D101">
        <v>252</v>
      </c>
      <c r="E101">
        <v>14</v>
      </c>
      <c r="F101" t="s">
        <v>55</v>
      </c>
      <c r="G101">
        <f>(E101/D101)*100</f>
        <v>5.5555555555555554</v>
      </c>
    </row>
    <row r="102" spans="1:7" x14ac:dyDescent="0.35">
      <c r="A102" s="2">
        <v>45683</v>
      </c>
      <c r="B102" t="s">
        <v>8</v>
      </c>
      <c r="C102" t="s">
        <v>18</v>
      </c>
      <c r="D102">
        <v>441</v>
      </c>
      <c r="E102">
        <v>26</v>
      </c>
      <c r="F102" t="s">
        <v>55</v>
      </c>
      <c r="G102">
        <f>(E102/D102)*100</f>
        <v>5.895691609977324</v>
      </c>
    </row>
    <row r="103" spans="1:7" x14ac:dyDescent="0.35">
      <c r="A103" s="2">
        <v>45747</v>
      </c>
      <c r="B103" t="s">
        <v>7</v>
      </c>
      <c r="C103" t="s">
        <v>11</v>
      </c>
      <c r="D103">
        <v>332</v>
      </c>
      <c r="E103">
        <v>21</v>
      </c>
      <c r="F103" t="s">
        <v>55</v>
      </c>
      <c r="G103">
        <f>(E103/D103)*100</f>
        <v>6.3253012048192767</v>
      </c>
    </row>
    <row r="104" spans="1:7" x14ac:dyDescent="0.35">
      <c r="A104" s="2">
        <v>45395</v>
      </c>
      <c r="B104" t="s">
        <v>6</v>
      </c>
      <c r="C104" t="s">
        <v>28</v>
      </c>
      <c r="D104">
        <v>993</v>
      </c>
      <c r="E104">
        <v>74</v>
      </c>
      <c r="F104" t="s">
        <v>55</v>
      </c>
      <c r="G104">
        <f>(E104/D104)*100</f>
        <v>7.4521651560926481</v>
      </c>
    </row>
    <row r="105" spans="1:7" x14ac:dyDescent="0.35">
      <c r="A105" s="2">
        <v>45637</v>
      </c>
      <c r="B105" t="s">
        <v>6</v>
      </c>
      <c r="C105" t="s">
        <v>11</v>
      </c>
      <c r="D105">
        <v>422</v>
      </c>
      <c r="E105">
        <v>35</v>
      </c>
      <c r="F105" t="s">
        <v>55</v>
      </c>
      <c r="G105">
        <f>(E105/D105)*100</f>
        <v>8.293838862559241</v>
      </c>
    </row>
    <row r="106" spans="1:7" x14ac:dyDescent="0.35">
      <c r="A106" s="2">
        <v>45407</v>
      </c>
      <c r="B106" t="s">
        <v>8</v>
      </c>
      <c r="C106" t="s">
        <v>19</v>
      </c>
      <c r="D106">
        <v>213</v>
      </c>
      <c r="E106">
        <v>2</v>
      </c>
      <c r="F106" t="s">
        <v>47</v>
      </c>
      <c r="G106">
        <f>(E106/D106)*100</f>
        <v>0.93896713615023475</v>
      </c>
    </row>
    <row r="107" spans="1:7" x14ac:dyDescent="0.35">
      <c r="A107" s="2">
        <v>45931</v>
      </c>
      <c r="B107" t="s">
        <v>7</v>
      </c>
      <c r="C107" t="s">
        <v>28</v>
      </c>
      <c r="D107">
        <v>606</v>
      </c>
      <c r="E107">
        <v>9</v>
      </c>
      <c r="F107" t="s">
        <v>47</v>
      </c>
      <c r="G107">
        <f>(E107/D107)*100</f>
        <v>1.4851485148514851</v>
      </c>
    </row>
    <row r="108" spans="1:7" x14ac:dyDescent="0.35">
      <c r="A108" s="2">
        <v>45580</v>
      </c>
      <c r="B108" t="s">
        <v>6</v>
      </c>
      <c r="C108" t="s">
        <v>11</v>
      </c>
      <c r="D108">
        <v>947</v>
      </c>
      <c r="E108">
        <v>15</v>
      </c>
      <c r="F108" t="s">
        <v>47</v>
      </c>
      <c r="G108">
        <f>(E108/D108)*100</f>
        <v>1.583949313621964</v>
      </c>
    </row>
    <row r="109" spans="1:7" x14ac:dyDescent="0.35">
      <c r="A109" s="2">
        <v>45684</v>
      </c>
      <c r="B109" t="s">
        <v>6</v>
      </c>
      <c r="C109" t="s">
        <v>24</v>
      </c>
      <c r="D109">
        <v>658</v>
      </c>
      <c r="E109">
        <v>14</v>
      </c>
      <c r="F109" t="s">
        <v>47</v>
      </c>
      <c r="G109">
        <f>(E109/D109)*100</f>
        <v>2.1276595744680851</v>
      </c>
    </row>
    <row r="110" spans="1:7" x14ac:dyDescent="0.35">
      <c r="A110" s="2">
        <v>45345</v>
      </c>
      <c r="B110" t="s">
        <v>6</v>
      </c>
      <c r="C110" t="s">
        <v>9</v>
      </c>
      <c r="D110">
        <v>419</v>
      </c>
      <c r="E110">
        <v>9</v>
      </c>
      <c r="F110" t="s">
        <v>47</v>
      </c>
      <c r="G110">
        <f>(E110/D110)*100</f>
        <v>2.1479713603818613</v>
      </c>
    </row>
    <row r="111" spans="1:7" x14ac:dyDescent="0.35">
      <c r="A111" s="2">
        <v>45430</v>
      </c>
      <c r="B111" t="s">
        <v>8</v>
      </c>
      <c r="C111" t="s">
        <v>17</v>
      </c>
      <c r="D111">
        <v>830</v>
      </c>
      <c r="E111">
        <v>21</v>
      </c>
      <c r="F111" t="s">
        <v>47</v>
      </c>
      <c r="G111">
        <f>(E111/D111)*100</f>
        <v>2.5301204819277108</v>
      </c>
    </row>
    <row r="112" spans="1:7" x14ac:dyDescent="0.35">
      <c r="A112" s="2">
        <v>45544</v>
      </c>
      <c r="B112" t="s">
        <v>6</v>
      </c>
      <c r="C112" t="s">
        <v>12</v>
      </c>
      <c r="D112">
        <v>364</v>
      </c>
      <c r="E112">
        <v>10</v>
      </c>
      <c r="F112" t="s">
        <v>47</v>
      </c>
      <c r="G112">
        <f>(E112/D112)*100</f>
        <v>2.7472527472527473</v>
      </c>
    </row>
    <row r="113" spans="1:7" x14ac:dyDescent="0.35">
      <c r="A113" s="2">
        <v>45878</v>
      </c>
      <c r="B113" t="s">
        <v>6</v>
      </c>
      <c r="C113" t="s">
        <v>24</v>
      </c>
      <c r="D113">
        <v>323</v>
      </c>
      <c r="E113">
        <v>9</v>
      </c>
      <c r="F113" t="s">
        <v>47</v>
      </c>
      <c r="G113">
        <f>(E113/D113)*100</f>
        <v>2.7863777089783279</v>
      </c>
    </row>
    <row r="114" spans="1:7" x14ac:dyDescent="0.35">
      <c r="A114" s="2">
        <v>45925</v>
      </c>
      <c r="B114" t="s">
        <v>6</v>
      </c>
      <c r="C114" t="s">
        <v>20</v>
      </c>
      <c r="D114">
        <v>235</v>
      </c>
      <c r="E114">
        <v>7</v>
      </c>
      <c r="F114" t="s">
        <v>47</v>
      </c>
      <c r="G114">
        <f>(E114/D114)*100</f>
        <v>2.9787234042553195</v>
      </c>
    </row>
    <row r="115" spans="1:7" x14ac:dyDescent="0.35">
      <c r="A115" s="2">
        <v>45516</v>
      </c>
      <c r="B115" t="s">
        <v>8</v>
      </c>
      <c r="C115" t="s">
        <v>27</v>
      </c>
      <c r="D115">
        <v>312</v>
      </c>
      <c r="E115">
        <v>12</v>
      </c>
      <c r="F115" t="s">
        <v>47</v>
      </c>
      <c r="G115">
        <f>(E115/D115)*100</f>
        <v>3.8461538461538463</v>
      </c>
    </row>
    <row r="116" spans="1:7" x14ac:dyDescent="0.35">
      <c r="A116" s="2">
        <v>45656</v>
      </c>
      <c r="B116" t="s">
        <v>8</v>
      </c>
      <c r="C116" t="s">
        <v>23</v>
      </c>
      <c r="D116">
        <v>502</v>
      </c>
      <c r="E116">
        <v>21</v>
      </c>
      <c r="F116" t="s">
        <v>47</v>
      </c>
      <c r="G116">
        <f>(E116/D116)*100</f>
        <v>4.1832669322709162</v>
      </c>
    </row>
    <row r="117" spans="1:7" x14ac:dyDescent="0.35">
      <c r="A117" s="2">
        <v>45475</v>
      </c>
      <c r="B117" t="s">
        <v>7</v>
      </c>
      <c r="C117" t="s">
        <v>27</v>
      </c>
      <c r="D117">
        <v>706</v>
      </c>
      <c r="E117">
        <v>32</v>
      </c>
      <c r="F117" t="s">
        <v>47</v>
      </c>
      <c r="G117">
        <f>(E117/D117)*100</f>
        <v>4.5325779036827196</v>
      </c>
    </row>
    <row r="118" spans="1:7" x14ac:dyDescent="0.35">
      <c r="A118" s="2">
        <v>45390</v>
      </c>
      <c r="B118" t="s">
        <v>6</v>
      </c>
      <c r="C118" t="s">
        <v>17</v>
      </c>
      <c r="D118">
        <v>888</v>
      </c>
      <c r="E118">
        <v>43</v>
      </c>
      <c r="F118" t="s">
        <v>47</v>
      </c>
      <c r="G118">
        <f>(E118/D118)*100</f>
        <v>4.8423423423423424</v>
      </c>
    </row>
    <row r="119" spans="1:7" x14ac:dyDescent="0.35">
      <c r="A119" s="2">
        <v>45865</v>
      </c>
      <c r="B119" t="s">
        <v>6</v>
      </c>
      <c r="C119" t="s">
        <v>27</v>
      </c>
      <c r="D119">
        <v>591</v>
      </c>
      <c r="E119">
        <v>30</v>
      </c>
      <c r="F119" t="s">
        <v>47</v>
      </c>
      <c r="G119">
        <f>(E119/D119)*100</f>
        <v>5.0761421319796955</v>
      </c>
    </row>
    <row r="120" spans="1:7" x14ac:dyDescent="0.35">
      <c r="A120" s="2">
        <v>45434</v>
      </c>
      <c r="B120" t="s">
        <v>7</v>
      </c>
      <c r="C120" t="s">
        <v>10</v>
      </c>
      <c r="D120">
        <v>234</v>
      </c>
      <c r="E120">
        <v>12</v>
      </c>
      <c r="F120" t="s">
        <v>47</v>
      </c>
      <c r="G120">
        <f>(E120/D120)*100</f>
        <v>5.1282051282051277</v>
      </c>
    </row>
    <row r="121" spans="1:7" x14ac:dyDescent="0.35">
      <c r="A121" s="2">
        <v>45629</v>
      </c>
      <c r="B121" t="s">
        <v>8</v>
      </c>
      <c r="C121" t="s">
        <v>10</v>
      </c>
      <c r="D121">
        <v>230</v>
      </c>
      <c r="E121">
        <v>12</v>
      </c>
      <c r="F121" t="s">
        <v>47</v>
      </c>
      <c r="G121">
        <f>(E121/D121)*100</f>
        <v>5.2173913043478262</v>
      </c>
    </row>
    <row r="122" spans="1:7" x14ac:dyDescent="0.35">
      <c r="A122" s="2">
        <v>45761</v>
      </c>
      <c r="B122" t="s">
        <v>8</v>
      </c>
      <c r="C122" t="s">
        <v>15</v>
      </c>
      <c r="D122">
        <v>629</v>
      </c>
      <c r="E122">
        <v>34</v>
      </c>
      <c r="F122" t="s">
        <v>47</v>
      </c>
      <c r="G122">
        <f>(E122/D122)*100</f>
        <v>5.4054054054054053</v>
      </c>
    </row>
    <row r="123" spans="1:7" x14ac:dyDescent="0.35">
      <c r="A123" s="2">
        <v>45963</v>
      </c>
      <c r="B123" t="s">
        <v>8</v>
      </c>
      <c r="C123" t="s">
        <v>24</v>
      </c>
      <c r="D123">
        <v>348</v>
      </c>
      <c r="E123">
        <v>22</v>
      </c>
      <c r="F123" t="s">
        <v>47</v>
      </c>
      <c r="G123">
        <f>(E123/D123)*100</f>
        <v>6.3218390804597711</v>
      </c>
    </row>
    <row r="124" spans="1:7" x14ac:dyDescent="0.35">
      <c r="A124" s="2">
        <v>45471</v>
      </c>
      <c r="B124" t="s">
        <v>8</v>
      </c>
      <c r="C124" t="s">
        <v>28</v>
      </c>
      <c r="D124">
        <v>659</v>
      </c>
      <c r="E124">
        <v>48</v>
      </c>
      <c r="F124" t="s">
        <v>47</v>
      </c>
      <c r="G124">
        <f>(E124/D124)*100</f>
        <v>7.2837632776934749</v>
      </c>
    </row>
    <row r="125" spans="1:7" x14ac:dyDescent="0.35">
      <c r="A125" s="2">
        <v>45580</v>
      </c>
      <c r="B125" t="s">
        <v>8</v>
      </c>
      <c r="C125" t="s">
        <v>15</v>
      </c>
      <c r="D125">
        <v>847</v>
      </c>
      <c r="E125">
        <v>69</v>
      </c>
      <c r="F125" t="s">
        <v>47</v>
      </c>
      <c r="G125">
        <f>(E125/D125)*100</f>
        <v>8.1463990554899635</v>
      </c>
    </row>
    <row r="126" spans="1:7" x14ac:dyDescent="0.35">
      <c r="A126" s="2">
        <v>45538</v>
      </c>
      <c r="B126" t="s">
        <v>6</v>
      </c>
      <c r="C126" t="s">
        <v>26</v>
      </c>
      <c r="D126">
        <v>863</v>
      </c>
      <c r="E126">
        <v>74</v>
      </c>
      <c r="F126" t="s">
        <v>47</v>
      </c>
      <c r="G126">
        <f>(E126/D126)*100</f>
        <v>8.5747392815758978</v>
      </c>
    </row>
    <row r="127" spans="1:7" x14ac:dyDescent="0.35">
      <c r="A127" s="2">
        <v>45404</v>
      </c>
      <c r="B127" t="s">
        <v>8</v>
      </c>
      <c r="C127" t="s">
        <v>13</v>
      </c>
      <c r="D127">
        <v>690</v>
      </c>
      <c r="E127">
        <v>67</v>
      </c>
      <c r="F127" t="s">
        <v>47</v>
      </c>
      <c r="G127">
        <f>(E127/D127)*100</f>
        <v>9.7101449275362324</v>
      </c>
    </row>
    <row r="128" spans="1:7" x14ac:dyDescent="0.35">
      <c r="A128" s="2">
        <v>45857</v>
      </c>
      <c r="B128" t="s">
        <v>6</v>
      </c>
      <c r="C128" t="s">
        <v>19</v>
      </c>
      <c r="D128">
        <v>644</v>
      </c>
      <c r="E128">
        <v>6</v>
      </c>
      <c r="F128" t="s">
        <v>51</v>
      </c>
      <c r="G128">
        <f>(E128/D128)*100</f>
        <v>0.93167701863354035</v>
      </c>
    </row>
    <row r="129" spans="1:7" x14ac:dyDescent="0.35">
      <c r="A129" s="2">
        <v>45964</v>
      </c>
      <c r="B129" t="s">
        <v>6</v>
      </c>
      <c r="C129" t="s">
        <v>10</v>
      </c>
      <c r="D129">
        <v>531</v>
      </c>
      <c r="E129">
        <v>5</v>
      </c>
      <c r="F129" t="s">
        <v>51</v>
      </c>
      <c r="G129">
        <f>(E129/D129)*100</f>
        <v>0.94161958568738224</v>
      </c>
    </row>
    <row r="130" spans="1:7" x14ac:dyDescent="0.35">
      <c r="A130" s="2">
        <v>45738</v>
      </c>
      <c r="B130" t="s">
        <v>7</v>
      </c>
      <c r="C130" t="s">
        <v>11</v>
      </c>
      <c r="D130">
        <v>860</v>
      </c>
      <c r="E130">
        <v>10</v>
      </c>
      <c r="F130" t="s">
        <v>51</v>
      </c>
      <c r="G130">
        <f>(E130/D130)*100</f>
        <v>1.1627906976744187</v>
      </c>
    </row>
    <row r="131" spans="1:7" x14ac:dyDescent="0.35">
      <c r="A131" s="2">
        <v>45514</v>
      </c>
      <c r="B131" t="s">
        <v>6</v>
      </c>
      <c r="C131" t="s">
        <v>24</v>
      </c>
      <c r="D131">
        <v>853</v>
      </c>
      <c r="E131">
        <v>13</v>
      </c>
      <c r="F131" t="s">
        <v>51</v>
      </c>
      <c r="G131">
        <f>(E131/D131)*100</f>
        <v>1.5240328253223916</v>
      </c>
    </row>
    <row r="132" spans="1:7" x14ac:dyDescent="0.35">
      <c r="A132" s="2">
        <v>45950</v>
      </c>
      <c r="B132" t="s">
        <v>6</v>
      </c>
      <c r="C132" t="s">
        <v>24</v>
      </c>
      <c r="D132">
        <v>654</v>
      </c>
      <c r="E132">
        <v>13</v>
      </c>
      <c r="F132" t="s">
        <v>51</v>
      </c>
      <c r="G132">
        <f>(E132/D132)*100</f>
        <v>1.9877675840978593</v>
      </c>
    </row>
    <row r="133" spans="1:7" x14ac:dyDescent="0.35">
      <c r="A133" s="2">
        <v>45394</v>
      </c>
      <c r="B133" t="s">
        <v>7</v>
      </c>
      <c r="C133" t="s">
        <v>28</v>
      </c>
      <c r="D133">
        <v>924</v>
      </c>
      <c r="E133">
        <v>27</v>
      </c>
      <c r="F133" t="s">
        <v>51</v>
      </c>
      <c r="G133">
        <f>(E133/D133)*100</f>
        <v>2.9220779220779218</v>
      </c>
    </row>
    <row r="134" spans="1:7" x14ac:dyDescent="0.35">
      <c r="A134" s="2">
        <v>45916</v>
      </c>
      <c r="B134" t="s">
        <v>7</v>
      </c>
      <c r="C134" t="s">
        <v>14</v>
      </c>
      <c r="D134">
        <v>375</v>
      </c>
      <c r="E134">
        <v>12</v>
      </c>
      <c r="F134" t="s">
        <v>51</v>
      </c>
      <c r="G134">
        <f>(E134/D134)*100</f>
        <v>3.2</v>
      </c>
    </row>
    <row r="135" spans="1:7" x14ac:dyDescent="0.35">
      <c r="A135" s="2">
        <v>45972</v>
      </c>
      <c r="B135" t="s">
        <v>7</v>
      </c>
      <c r="C135" t="s">
        <v>9</v>
      </c>
      <c r="D135">
        <v>245</v>
      </c>
      <c r="E135">
        <v>8</v>
      </c>
      <c r="F135" t="s">
        <v>51</v>
      </c>
      <c r="G135">
        <f>(E135/D135)*100</f>
        <v>3.2653061224489797</v>
      </c>
    </row>
    <row r="136" spans="1:7" x14ac:dyDescent="0.35">
      <c r="A136" s="2">
        <v>45443</v>
      </c>
      <c r="B136" t="s">
        <v>8</v>
      </c>
      <c r="C136" t="s">
        <v>13</v>
      </c>
      <c r="D136">
        <v>779</v>
      </c>
      <c r="E136">
        <v>29</v>
      </c>
      <c r="F136" t="s">
        <v>51</v>
      </c>
      <c r="G136">
        <f>(E136/D136)*100</f>
        <v>3.7227214377406934</v>
      </c>
    </row>
    <row r="137" spans="1:7" x14ac:dyDescent="0.35">
      <c r="A137" s="2">
        <v>45438</v>
      </c>
      <c r="B137" t="s">
        <v>8</v>
      </c>
      <c r="C137" t="s">
        <v>16</v>
      </c>
      <c r="D137">
        <v>725</v>
      </c>
      <c r="E137">
        <v>31</v>
      </c>
      <c r="F137" t="s">
        <v>51</v>
      </c>
      <c r="G137">
        <f>(E137/D137)*100</f>
        <v>4.2758620689655169</v>
      </c>
    </row>
    <row r="138" spans="1:7" x14ac:dyDescent="0.35">
      <c r="A138" s="2">
        <v>45458</v>
      </c>
      <c r="B138" t="s">
        <v>6</v>
      </c>
      <c r="C138" t="s">
        <v>10</v>
      </c>
      <c r="D138">
        <v>211</v>
      </c>
      <c r="E138">
        <v>11</v>
      </c>
      <c r="F138" t="s">
        <v>51</v>
      </c>
      <c r="G138">
        <f>(E138/D138)*100</f>
        <v>5.2132701421800949</v>
      </c>
    </row>
    <row r="139" spans="1:7" x14ac:dyDescent="0.35">
      <c r="A139" s="2">
        <v>45858</v>
      </c>
      <c r="B139" t="s">
        <v>8</v>
      </c>
      <c r="C139" t="s">
        <v>20</v>
      </c>
      <c r="D139">
        <v>316</v>
      </c>
      <c r="E139">
        <v>17</v>
      </c>
      <c r="F139" t="s">
        <v>51</v>
      </c>
      <c r="G139">
        <f>(E139/D139)*100</f>
        <v>5.3797468354430382</v>
      </c>
    </row>
    <row r="140" spans="1:7" x14ac:dyDescent="0.35">
      <c r="A140" s="2">
        <v>45794</v>
      </c>
      <c r="B140" t="s">
        <v>7</v>
      </c>
      <c r="C140" t="s">
        <v>14</v>
      </c>
      <c r="D140">
        <v>780</v>
      </c>
      <c r="E140">
        <v>67</v>
      </c>
      <c r="F140" t="s">
        <v>51</v>
      </c>
      <c r="G140">
        <f>(E140/D140)*100</f>
        <v>8.5897435897435894</v>
      </c>
    </row>
    <row r="141" spans="1:7" x14ac:dyDescent="0.35">
      <c r="A141" s="2">
        <v>45631</v>
      </c>
      <c r="B141" t="s">
        <v>6</v>
      </c>
      <c r="C141" t="s">
        <v>23</v>
      </c>
      <c r="D141">
        <v>577</v>
      </c>
      <c r="E141">
        <v>6</v>
      </c>
      <c r="F141" t="s">
        <v>44</v>
      </c>
      <c r="G141">
        <f>(E141/D141)*100</f>
        <v>1.0398613518197575</v>
      </c>
    </row>
    <row r="142" spans="1:7" x14ac:dyDescent="0.35">
      <c r="A142" s="2">
        <v>45927</v>
      </c>
      <c r="B142" t="s">
        <v>8</v>
      </c>
      <c r="C142" t="s">
        <v>12</v>
      </c>
      <c r="D142">
        <v>353</v>
      </c>
      <c r="E142">
        <v>4</v>
      </c>
      <c r="F142" t="s">
        <v>44</v>
      </c>
      <c r="G142">
        <f>(E142/D142)*100</f>
        <v>1.1331444759206799</v>
      </c>
    </row>
    <row r="143" spans="1:7" x14ac:dyDescent="0.35">
      <c r="A143" s="2">
        <v>45508</v>
      </c>
      <c r="B143" t="s">
        <v>6</v>
      </c>
      <c r="C143" t="s">
        <v>24</v>
      </c>
      <c r="D143">
        <v>733</v>
      </c>
      <c r="E143">
        <v>9</v>
      </c>
      <c r="F143" t="s">
        <v>44</v>
      </c>
      <c r="G143">
        <f>(E143/D143)*100</f>
        <v>1.2278308321964531</v>
      </c>
    </row>
    <row r="144" spans="1:7" x14ac:dyDescent="0.35">
      <c r="A144" s="2">
        <v>45966</v>
      </c>
      <c r="B144" t="s">
        <v>6</v>
      </c>
      <c r="C144" t="s">
        <v>23</v>
      </c>
      <c r="D144">
        <v>345</v>
      </c>
      <c r="E144">
        <v>5</v>
      </c>
      <c r="F144" t="s">
        <v>44</v>
      </c>
      <c r="G144">
        <f>(E144/D144)*100</f>
        <v>1.4492753623188406</v>
      </c>
    </row>
    <row r="145" spans="1:7" x14ac:dyDescent="0.35">
      <c r="A145" s="2">
        <v>45449</v>
      </c>
      <c r="B145" t="s">
        <v>7</v>
      </c>
      <c r="C145" t="s">
        <v>10</v>
      </c>
      <c r="D145">
        <v>245</v>
      </c>
      <c r="E145">
        <v>4</v>
      </c>
      <c r="F145" t="s">
        <v>44</v>
      </c>
      <c r="G145">
        <f>(E145/D145)*100</f>
        <v>1.6326530612244898</v>
      </c>
    </row>
    <row r="146" spans="1:7" x14ac:dyDescent="0.35">
      <c r="A146" s="2">
        <v>45713</v>
      </c>
      <c r="B146" t="s">
        <v>8</v>
      </c>
      <c r="C146" t="s">
        <v>15</v>
      </c>
      <c r="D146">
        <v>792</v>
      </c>
      <c r="E146">
        <v>13</v>
      </c>
      <c r="F146" t="s">
        <v>44</v>
      </c>
      <c r="G146">
        <f>(E146/D146)*100</f>
        <v>1.6414141414141417</v>
      </c>
    </row>
    <row r="147" spans="1:7" x14ac:dyDescent="0.35">
      <c r="A147" s="2">
        <v>45637</v>
      </c>
      <c r="B147" t="s">
        <v>6</v>
      </c>
      <c r="C147" t="s">
        <v>17</v>
      </c>
      <c r="D147">
        <v>757</v>
      </c>
      <c r="E147">
        <v>14</v>
      </c>
      <c r="F147" t="s">
        <v>44</v>
      </c>
      <c r="G147">
        <f>(E147/D147)*100</f>
        <v>1.8494055482166447</v>
      </c>
    </row>
    <row r="148" spans="1:7" x14ac:dyDescent="0.35">
      <c r="A148" s="2">
        <v>45898</v>
      </c>
      <c r="B148" t="s">
        <v>6</v>
      </c>
      <c r="C148" t="s">
        <v>13</v>
      </c>
      <c r="D148">
        <v>582</v>
      </c>
      <c r="E148">
        <v>11</v>
      </c>
      <c r="F148" t="s">
        <v>44</v>
      </c>
      <c r="G148">
        <f>(E148/D148)*100</f>
        <v>1.8900343642611683</v>
      </c>
    </row>
    <row r="149" spans="1:7" x14ac:dyDescent="0.35">
      <c r="A149" s="2">
        <v>45640</v>
      </c>
      <c r="B149" t="s">
        <v>6</v>
      </c>
      <c r="C149" t="s">
        <v>27</v>
      </c>
      <c r="D149">
        <v>449</v>
      </c>
      <c r="E149">
        <v>11</v>
      </c>
      <c r="F149" t="s">
        <v>44</v>
      </c>
      <c r="G149">
        <f>(E149/D149)*100</f>
        <v>2.4498886414253898</v>
      </c>
    </row>
    <row r="150" spans="1:7" x14ac:dyDescent="0.35">
      <c r="A150" s="2">
        <v>45983</v>
      </c>
      <c r="B150" t="s">
        <v>7</v>
      </c>
      <c r="C150" t="s">
        <v>22</v>
      </c>
      <c r="D150">
        <v>200</v>
      </c>
      <c r="E150">
        <v>5</v>
      </c>
      <c r="F150" t="s">
        <v>44</v>
      </c>
      <c r="G150">
        <f>(E150/D150)*100</f>
        <v>2.5</v>
      </c>
    </row>
    <row r="151" spans="1:7" x14ac:dyDescent="0.35">
      <c r="A151" s="2">
        <v>45489</v>
      </c>
      <c r="B151" t="s">
        <v>6</v>
      </c>
      <c r="C151" t="s">
        <v>18</v>
      </c>
      <c r="D151">
        <v>474</v>
      </c>
      <c r="E151">
        <v>17</v>
      </c>
      <c r="F151" t="s">
        <v>44</v>
      </c>
      <c r="G151">
        <f>(E151/D151)*100</f>
        <v>3.5864978902953584</v>
      </c>
    </row>
    <row r="152" spans="1:7" x14ac:dyDescent="0.35">
      <c r="A152" s="2">
        <v>45804</v>
      </c>
      <c r="B152" t="s">
        <v>7</v>
      </c>
      <c r="C152" t="s">
        <v>24</v>
      </c>
      <c r="D152">
        <v>584</v>
      </c>
      <c r="E152">
        <v>21</v>
      </c>
      <c r="F152" t="s">
        <v>44</v>
      </c>
      <c r="G152">
        <f>(E152/D152)*100</f>
        <v>3.595890410958904</v>
      </c>
    </row>
    <row r="153" spans="1:7" x14ac:dyDescent="0.35">
      <c r="A153" s="2">
        <v>45813</v>
      </c>
      <c r="B153" t="s">
        <v>6</v>
      </c>
      <c r="C153" t="s">
        <v>16</v>
      </c>
      <c r="D153">
        <v>283</v>
      </c>
      <c r="E153">
        <v>11</v>
      </c>
      <c r="F153" t="s">
        <v>44</v>
      </c>
      <c r="G153">
        <f>(E153/D153)*100</f>
        <v>3.8869257950530036</v>
      </c>
    </row>
    <row r="154" spans="1:7" x14ac:dyDescent="0.35">
      <c r="A154" s="2">
        <v>45861</v>
      </c>
      <c r="B154" t="s">
        <v>7</v>
      </c>
      <c r="C154" t="s">
        <v>13</v>
      </c>
      <c r="D154">
        <v>552</v>
      </c>
      <c r="E154">
        <v>30</v>
      </c>
      <c r="F154" t="s">
        <v>44</v>
      </c>
      <c r="G154">
        <f>(E154/D154)*100</f>
        <v>5.4347826086956523</v>
      </c>
    </row>
    <row r="155" spans="1:7" x14ac:dyDescent="0.35">
      <c r="A155" s="2">
        <v>45692</v>
      </c>
      <c r="B155" t="s">
        <v>6</v>
      </c>
      <c r="C155" t="s">
        <v>10</v>
      </c>
      <c r="D155">
        <v>495</v>
      </c>
      <c r="E155">
        <v>30</v>
      </c>
      <c r="F155" t="s">
        <v>44</v>
      </c>
      <c r="G155">
        <f>(E155/D155)*100</f>
        <v>6.0606060606060606</v>
      </c>
    </row>
    <row r="156" spans="1:7" x14ac:dyDescent="0.35">
      <c r="A156" s="2">
        <v>45559</v>
      </c>
      <c r="B156" t="s">
        <v>8</v>
      </c>
      <c r="C156" t="s">
        <v>23</v>
      </c>
      <c r="D156">
        <v>747</v>
      </c>
      <c r="E156">
        <v>46</v>
      </c>
      <c r="F156" t="s">
        <v>44</v>
      </c>
      <c r="G156">
        <f>(E156/D156)*100</f>
        <v>6.1579651941097726</v>
      </c>
    </row>
    <row r="157" spans="1:7" x14ac:dyDescent="0.35">
      <c r="A157" s="2">
        <v>45677</v>
      </c>
      <c r="B157" t="s">
        <v>6</v>
      </c>
      <c r="C157" t="s">
        <v>9</v>
      </c>
      <c r="D157">
        <v>729</v>
      </c>
      <c r="E157">
        <v>45</v>
      </c>
      <c r="F157" t="s">
        <v>44</v>
      </c>
      <c r="G157">
        <f>(E157/D157)*100</f>
        <v>6.1728395061728394</v>
      </c>
    </row>
    <row r="158" spans="1:7" x14ac:dyDescent="0.35">
      <c r="A158" s="2">
        <v>45605</v>
      </c>
      <c r="B158" t="s">
        <v>8</v>
      </c>
      <c r="C158" t="s">
        <v>22</v>
      </c>
      <c r="D158">
        <v>374</v>
      </c>
      <c r="E158">
        <v>26</v>
      </c>
      <c r="F158" t="s">
        <v>44</v>
      </c>
      <c r="G158">
        <f>(E158/D158)*100</f>
        <v>6.9518716577540109</v>
      </c>
    </row>
    <row r="159" spans="1:7" x14ac:dyDescent="0.35">
      <c r="A159" s="2">
        <v>45707</v>
      </c>
      <c r="B159" t="s">
        <v>7</v>
      </c>
      <c r="C159" t="s">
        <v>23</v>
      </c>
      <c r="D159">
        <v>426</v>
      </c>
      <c r="E159">
        <v>30</v>
      </c>
      <c r="F159" t="s">
        <v>44</v>
      </c>
      <c r="G159">
        <f>(E159/D159)*100</f>
        <v>7.042253521126761</v>
      </c>
    </row>
    <row r="160" spans="1:7" x14ac:dyDescent="0.35">
      <c r="A160" s="2">
        <v>45751</v>
      </c>
      <c r="B160" t="s">
        <v>8</v>
      </c>
      <c r="C160" t="s">
        <v>12</v>
      </c>
      <c r="D160">
        <v>691</v>
      </c>
      <c r="E160">
        <v>58</v>
      </c>
      <c r="F160" t="s">
        <v>44</v>
      </c>
      <c r="G160">
        <f>(E160/D160)*100</f>
        <v>8.3936324167872645</v>
      </c>
    </row>
    <row r="161" spans="1:7" x14ac:dyDescent="0.35">
      <c r="A161" s="2">
        <v>45705</v>
      </c>
      <c r="B161" t="s">
        <v>7</v>
      </c>
      <c r="C161" t="s">
        <v>22</v>
      </c>
      <c r="D161">
        <v>683</v>
      </c>
      <c r="E161">
        <v>60</v>
      </c>
      <c r="F161" t="s">
        <v>44</v>
      </c>
      <c r="G161">
        <f>(E161/D161)*100</f>
        <v>8.7847730600292824</v>
      </c>
    </row>
    <row r="162" spans="1:7" x14ac:dyDescent="0.35">
      <c r="A162" s="2">
        <v>46011</v>
      </c>
      <c r="B162" t="s">
        <v>7</v>
      </c>
      <c r="C162" t="s">
        <v>18</v>
      </c>
      <c r="D162">
        <v>723</v>
      </c>
      <c r="E162">
        <v>6</v>
      </c>
      <c r="F162" t="s">
        <v>43</v>
      </c>
      <c r="G162">
        <f>(E162/D162)*100</f>
        <v>0.82987551867219922</v>
      </c>
    </row>
    <row r="163" spans="1:7" x14ac:dyDescent="0.35">
      <c r="A163" s="2">
        <v>45640</v>
      </c>
      <c r="B163" t="s">
        <v>8</v>
      </c>
      <c r="C163" t="s">
        <v>24</v>
      </c>
      <c r="D163">
        <v>834</v>
      </c>
      <c r="E163">
        <v>12</v>
      </c>
      <c r="F163" t="s">
        <v>43</v>
      </c>
      <c r="G163">
        <f>(E163/D163)*100</f>
        <v>1.4388489208633095</v>
      </c>
    </row>
    <row r="164" spans="1:7" x14ac:dyDescent="0.35">
      <c r="A164" s="2">
        <v>45702</v>
      </c>
      <c r="B164" t="s">
        <v>6</v>
      </c>
      <c r="C164" t="s">
        <v>18</v>
      </c>
      <c r="D164">
        <v>517</v>
      </c>
      <c r="E164">
        <v>10</v>
      </c>
      <c r="F164" t="s">
        <v>43</v>
      </c>
      <c r="G164">
        <f>(E164/D164)*100</f>
        <v>1.9342359767891684</v>
      </c>
    </row>
    <row r="165" spans="1:7" x14ac:dyDescent="0.35">
      <c r="A165" s="2">
        <v>45451</v>
      </c>
      <c r="B165" t="s">
        <v>8</v>
      </c>
      <c r="C165" t="s">
        <v>11</v>
      </c>
      <c r="D165">
        <v>272</v>
      </c>
      <c r="E165">
        <v>6</v>
      </c>
      <c r="F165" t="s">
        <v>43</v>
      </c>
      <c r="G165">
        <f>(E165/D165)*100</f>
        <v>2.2058823529411766</v>
      </c>
    </row>
    <row r="166" spans="1:7" x14ac:dyDescent="0.35">
      <c r="A166" s="2">
        <v>45545</v>
      </c>
      <c r="B166" t="s">
        <v>8</v>
      </c>
      <c r="C166" t="s">
        <v>26</v>
      </c>
      <c r="D166">
        <v>436</v>
      </c>
      <c r="E166">
        <v>10</v>
      </c>
      <c r="F166" t="s">
        <v>43</v>
      </c>
      <c r="G166">
        <f>(E166/D166)*100</f>
        <v>2.2935779816513762</v>
      </c>
    </row>
    <row r="167" spans="1:7" x14ac:dyDescent="0.35">
      <c r="A167" s="2">
        <v>45511</v>
      </c>
      <c r="B167" t="s">
        <v>7</v>
      </c>
      <c r="C167" t="s">
        <v>11</v>
      </c>
      <c r="D167">
        <v>272</v>
      </c>
      <c r="E167">
        <v>7</v>
      </c>
      <c r="F167" t="s">
        <v>43</v>
      </c>
      <c r="G167">
        <f>(E167/D167)*100</f>
        <v>2.5735294117647056</v>
      </c>
    </row>
    <row r="168" spans="1:7" x14ac:dyDescent="0.35">
      <c r="A168" s="2">
        <v>45671</v>
      </c>
      <c r="B168" t="s">
        <v>6</v>
      </c>
      <c r="C168" t="s">
        <v>16</v>
      </c>
      <c r="D168">
        <v>277</v>
      </c>
      <c r="E168">
        <v>8</v>
      </c>
      <c r="F168" t="s">
        <v>43</v>
      </c>
      <c r="G168">
        <f>(E168/D168)*100</f>
        <v>2.8880866425992782</v>
      </c>
    </row>
    <row r="169" spans="1:7" x14ac:dyDescent="0.35">
      <c r="A169" s="2">
        <v>45404</v>
      </c>
      <c r="B169" t="s">
        <v>6</v>
      </c>
      <c r="C169" t="s">
        <v>13</v>
      </c>
      <c r="D169">
        <v>436</v>
      </c>
      <c r="E169">
        <v>13</v>
      </c>
      <c r="F169" t="s">
        <v>43</v>
      </c>
      <c r="G169">
        <f>(E169/D169)*100</f>
        <v>2.9816513761467891</v>
      </c>
    </row>
    <row r="170" spans="1:7" x14ac:dyDescent="0.35">
      <c r="A170" s="2">
        <v>45781</v>
      </c>
      <c r="B170" t="s">
        <v>7</v>
      </c>
      <c r="C170" t="s">
        <v>17</v>
      </c>
      <c r="D170">
        <v>445</v>
      </c>
      <c r="E170">
        <v>14</v>
      </c>
      <c r="F170" t="s">
        <v>43</v>
      </c>
      <c r="G170">
        <f>(E170/D170)*100</f>
        <v>3.1460674157303372</v>
      </c>
    </row>
    <row r="171" spans="1:7" x14ac:dyDescent="0.35">
      <c r="A171" s="2">
        <v>45989</v>
      </c>
      <c r="B171" t="s">
        <v>6</v>
      </c>
      <c r="C171" t="s">
        <v>16</v>
      </c>
      <c r="D171">
        <v>627</v>
      </c>
      <c r="E171">
        <v>22</v>
      </c>
      <c r="F171" t="s">
        <v>43</v>
      </c>
      <c r="G171">
        <f>(E171/D171)*100</f>
        <v>3.5087719298245612</v>
      </c>
    </row>
    <row r="172" spans="1:7" x14ac:dyDescent="0.35">
      <c r="A172" s="2">
        <v>45783</v>
      </c>
      <c r="B172" t="s">
        <v>6</v>
      </c>
      <c r="C172" t="s">
        <v>14</v>
      </c>
      <c r="D172">
        <v>595</v>
      </c>
      <c r="E172">
        <v>21</v>
      </c>
      <c r="F172" t="s">
        <v>43</v>
      </c>
      <c r="G172">
        <f>(E172/D172)*100</f>
        <v>3.5294117647058822</v>
      </c>
    </row>
    <row r="173" spans="1:7" x14ac:dyDescent="0.35">
      <c r="A173" s="2">
        <v>45931</v>
      </c>
      <c r="B173" t="s">
        <v>7</v>
      </c>
      <c r="C173" t="s">
        <v>13</v>
      </c>
      <c r="D173">
        <v>484</v>
      </c>
      <c r="E173">
        <v>21</v>
      </c>
      <c r="F173" t="s">
        <v>43</v>
      </c>
      <c r="G173">
        <f>(E173/D173)*100</f>
        <v>4.338842975206612</v>
      </c>
    </row>
    <row r="174" spans="1:7" x14ac:dyDescent="0.35">
      <c r="A174" s="2">
        <v>45947</v>
      </c>
      <c r="B174" t="s">
        <v>6</v>
      </c>
      <c r="C174" t="s">
        <v>21</v>
      </c>
      <c r="D174">
        <v>753</v>
      </c>
      <c r="E174">
        <v>34</v>
      </c>
      <c r="F174" t="s">
        <v>43</v>
      </c>
      <c r="G174">
        <f>(E174/D174)*100</f>
        <v>4.5152722443559101</v>
      </c>
    </row>
    <row r="175" spans="1:7" x14ac:dyDescent="0.35">
      <c r="A175" s="2">
        <v>45803</v>
      </c>
      <c r="B175" t="s">
        <v>8</v>
      </c>
      <c r="C175" t="s">
        <v>26</v>
      </c>
      <c r="D175">
        <v>755</v>
      </c>
      <c r="E175">
        <v>37</v>
      </c>
      <c r="F175" t="s">
        <v>43</v>
      </c>
      <c r="G175">
        <f>(E175/D175)*100</f>
        <v>4.9006622516556293</v>
      </c>
    </row>
    <row r="176" spans="1:7" x14ac:dyDescent="0.35">
      <c r="A176" s="2">
        <v>45776</v>
      </c>
      <c r="B176" t="s">
        <v>7</v>
      </c>
      <c r="C176" t="s">
        <v>26</v>
      </c>
      <c r="D176">
        <v>640</v>
      </c>
      <c r="E176">
        <v>32</v>
      </c>
      <c r="F176" t="s">
        <v>43</v>
      </c>
      <c r="G176">
        <f>(E176/D176)*100</f>
        <v>5</v>
      </c>
    </row>
    <row r="177" spans="1:7" x14ac:dyDescent="0.35">
      <c r="A177" s="2">
        <v>45574</v>
      </c>
      <c r="B177" t="s">
        <v>6</v>
      </c>
      <c r="C177" t="s">
        <v>11</v>
      </c>
      <c r="D177">
        <v>726</v>
      </c>
      <c r="E177">
        <v>37</v>
      </c>
      <c r="F177" t="s">
        <v>43</v>
      </c>
      <c r="G177">
        <f>(E177/D177)*100</f>
        <v>5.0964187327823689</v>
      </c>
    </row>
    <row r="178" spans="1:7" x14ac:dyDescent="0.35">
      <c r="A178" s="2">
        <v>45483</v>
      </c>
      <c r="B178" t="s">
        <v>7</v>
      </c>
      <c r="C178" t="s">
        <v>21</v>
      </c>
      <c r="D178">
        <v>543</v>
      </c>
      <c r="E178">
        <v>28</v>
      </c>
      <c r="F178" t="s">
        <v>43</v>
      </c>
      <c r="G178">
        <f>(E178/D178)*100</f>
        <v>5.1565377532228363</v>
      </c>
    </row>
    <row r="179" spans="1:7" x14ac:dyDescent="0.35">
      <c r="A179" s="2">
        <v>45453</v>
      </c>
      <c r="B179" t="s">
        <v>8</v>
      </c>
      <c r="C179" t="s">
        <v>15</v>
      </c>
      <c r="D179">
        <v>297</v>
      </c>
      <c r="E179">
        <v>16</v>
      </c>
      <c r="F179" t="s">
        <v>43</v>
      </c>
      <c r="G179">
        <f>(E179/D179)*100</f>
        <v>5.3872053872053867</v>
      </c>
    </row>
    <row r="180" spans="1:7" x14ac:dyDescent="0.35">
      <c r="A180" s="2">
        <v>45706</v>
      </c>
      <c r="B180" t="s">
        <v>6</v>
      </c>
      <c r="C180" t="s">
        <v>22</v>
      </c>
      <c r="D180">
        <v>228</v>
      </c>
      <c r="E180">
        <v>13</v>
      </c>
      <c r="F180" t="s">
        <v>43</v>
      </c>
      <c r="G180">
        <f>(E180/D180)*100</f>
        <v>5.7017543859649118</v>
      </c>
    </row>
    <row r="181" spans="1:7" x14ac:dyDescent="0.35">
      <c r="A181" s="2">
        <v>45931</v>
      </c>
      <c r="B181" t="s">
        <v>6</v>
      </c>
      <c r="C181" t="s">
        <v>23</v>
      </c>
      <c r="D181">
        <v>715</v>
      </c>
      <c r="E181">
        <v>41</v>
      </c>
      <c r="F181" t="s">
        <v>43</v>
      </c>
      <c r="G181">
        <f>(E181/D181)*100</f>
        <v>5.7342657342657342</v>
      </c>
    </row>
    <row r="182" spans="1:7" x14ac:dyDescent="0.35">
      <c r="A182" s="2">
        <v>45344</v>
      </c>
      <c r="B182" t="s">
        <v>6</v>
      </c>
      <c r="C182" t="s">
        <v>25</v>
      </c>
      <c r="D182">
        <v>675</v>
      </c>
      <c r="E182">
        <v>41</v>
      </c>
      <c r="F182" t="s">
        <v>43</v>
      </c>
      <c r="G182">
        <f>(E182/D182)*100</f>
        <v>6.0740740740740744</v>
      </c>
    </row>
    <row r="183" spans="1:7" x14ac:dyDescent="0.35">
      <c r="A183" s="2">
        <v>45900</v>
      </c>
      <c r="B183" t="s">
        <v>7</v>
      </c>
      <c r="C183" t="s">
        <v>28</v>
      </c>
      <c r="D183">
        <v>719</v>
      </c>
      <c r="E183">
        <v>55</v>
      </c>
      <c r="F183" t="s">
        <v>43</v>
      </c>
      <c r="G183">
        <f>(E183/D183)*100</f>
        <v>7.649513212795549</v>
      </c>
    </row>
    <row r="184" spans="1:7" x14ac:dyDescent="0.35">
      <c r="A184" s="2">
        <v>45633</v>
      </c>
      <c r="B184" t="s">
        <v>6</v>
      </c>
      <c r="C184" t="s">
        <v>25</v>
      </c>
      <c r="D184">
        <v>344</v>
      </c>
      <c r="E184">
        <v>28</v>
      </c>
      <c r="F184" t="s">
        <v>43</v>
      </c>
      <c r="G184">
        <f>(E184/D184)*100</f>
        <v>8.1395348837209305</v>
      </c>
    </row>
    <row r="185" spans="1:7" x14ac:dyDescent="0.35">
      <c r="A185" s="2">
        <v>45981</v>
      </c>
      <c r="B185" t="s">
        <v>8</v>
      </c>
      <c r="C185" t="s">
        <v>10</v>
      </c>
      <c r="D185">
        <v>452</v>
      </c>
      <c r="E185">
        <v>39</v>
      </c>
      <c r="F185" t="s">
        <v>43</v>
      </c>
      <c r="G185">
        <f>(E185/D185)*100</f>
        <v>8.6283185840707954</v>
      </c>
    </row>
    <row r="186" spans="1:7" x14ac:dyDescent="0.35">
      <c r="A186" s="2">
        <v>45855</v>
      </c>
      <c r="B186" t="s">
        <v>7</v>
      </c>
      <c r="C186" t="s">
        <v>26</v>
      </c>
      <c r="D186">
        <v>284</v>
      </c>
      <c r="E186">
        <v>2</v>
      </c>
      <c r="F186" t="s">
        <v>48</v>
      </c>
      <c r="G186">
        <f>(E186/D186)*100</f>
        <v>0.70422535211267612</v>
      </c>
    </row>
    <row r="187" spans="1:7" x14ac:dyDescent="0.35">
      <c r="A187" s="2">
        <v>45763</v>
      </c>
      <c r="B187" t="s">
        <v>8</v>
      </c>
      <c r="C187" t="s">
        <v>22</v>
      </c>
      <c r="D187">
        <v>950</v>
      </c>
      <c r="E187">
        <v>14</v>
      </c>
      <c r="F187" t="s">
        <v>48</v>
      </c>
      <c r="G187">
        <f>(E187/D187)*100</f>
        <v>1.4736842105263157</v>
      </c>
    </row>
    <row r="188" spans="1:7" x14ac:dyDescent="0.35">
      <c r="A188" s="2">
        <v>45596</v>
      </c>
      <c r="B188" t="s">
        <v>7</v>
      </c>
      <c r="C188" t="s">
        <v>20</v>
      </c>
      <c r="D188">
        <v>787</v>
      </c>
      <c r="E188">
        <v>16</v>
      </c>
      <c r="F188" t="s">
        <v>48</v>
      </c>
      <c r="G188">
        <f>(E188/D188)*100</f>
        <v>2.0330368487928845</v>
      </c>
    </row>
    <row r="189" spans="1:7" x14ac:dyDescent="0.35">
      <c r="A189" s="2">
        <v>45853</v>
      </c>
      <c r="B189" t="s">
        <v>8</v>
      </c>
      <c r="C189" t="s">
        <v>10</v>
      </c>
      <c r="D189">
        <v>344</v>
      </c>
      <c r="E189">
        <v>7</v>
      </c>
      <c r="F189" t="s">
        <v>48</v>
      </c>
      <c r="G189">
        <f>(E189/D189)*100</f>
        <v>2.0348837209302326</v>
      </c>
    </row>
    <row r="190" spans="1:7" x14ac:dyDescent="0.35">
      <c r="A190" s="2">
        <v>45711</v>
      </c>
      <c r="B190" t="s">
        <v>6</v>
      </c>
      <c r="C190" t="s">
        <v>13</v>
      </c>
      <c r="D190">
        <v>515</v>
      </c>
      <c r="E190">
        <v>11</v>
      </c>
      <c r="F190" t="s">
        <v>48</v>
      </c>
      <c r="G190">
        <f>(E190/D190)*100</f>
        <v>2.1359223300970873</v>
      </c>
    </row>
    <row r="191" spans="1:7" x14ac:dyDescent="0.35">
      <c r="A191" s="2">
        <v>45409</v>
      </c>
      <c r="B191" t="s">
        <v>6</v>
      </c>
      <c r="C191" t="s">
        <v>9</v>
      </c>
      <c r="D191">
        <v>225</v>
      </c>
      <c r="E191">
        <v>5</v>
      </c>
      <c r="F191" t="s">
        <v>48</v>
      </c>
      <c r="G191">
        <f>(E191/D191)*100</f>
        <v>2.2222222222222223</v>
      </c>
    </row>
    <row r="192" spans="1:7" x14ac:dyDescent="0.35">
      <c r="A192" s="2">
        <v>45812</v>
      </c>
      <c r="B192" t="s">
        <v>7</v>
      </c>
      <c r="C192" t="s">
        <v>27</v>
      </c>
      <c r="D192">
        <v>925</v>
      </c>
      <c r="E192">
        <v>28</v>
      </c>
      <c r="F192" t="s">
        <v>48</v>
      </c>
      <c r="G192">
        <f>(E192/D192)*100</f>
        <v>3.0270270270270272</v>
      </c>
    </row>
    <row r="193" spans="1:7" x14ac:dyDescent="0.35">
      <c r="A193" s="2">
        <v>45337</v>
      </c>
      <c r="B193" t="s">
        <v>7</v>
      </c>
      <c r="C193" t="s">
        <v>24</v>
      </c>
      <c r="D193">
        <v>441</v>
      </c>
      <c r="E193">
        <v>14</v>
      </c>
      <c r="F193" t="s">
        <v>48</v>
      </c>
      <c r="G193">
        <f>(E193/D193)*100</f>
        <v>3.1746031746031744</v>
      </c>
    </row>
    <row r="194" spans="1:7" x14ac:dyDescent="0.35">
      <c r="A194" s="2">
        <v>45800</v>
      </c>
      <c r="B194" t="s">
        <v>6</v>
      </c>
      <c r="C194" t="s">
        <v>9</v>
      </c>
      <c r="D194">
        <v>304</v>
      </c>
      <c r="E194">
        <v>10</v>
      </c>
      <c r="F194" t="s">
        <v>48</v>
      </c>
      <c r="G194">
        <f>(E194/D194)*100</f>
        <v>3.2894736842105261</v>
      </c>
    </row>
    <row r="195" spans="1:7" x14ac:dyDescent="0.35">
      <c r="A195" s="2">
        <v>45495</v>
      </c>
      <c r="B195" t="s">
        <v>6</v>
      </c>
      <c r="C195" t="s">
        <v>14</v>
      </c>
      <c r="D195">
        <v>257</v>
      </c>
      <c r="E195">
        <v>9</v>
      </c>
      <c r="F195" t="s">
        <v>48</v>
      </c>
      <c r="G195">
        <f>(E195/D195)*100</f>
        <v>3.5019455252918288</v>
      </c>
    </row>
    <row r="196" spans="1:7" x14ac:dyDescent="0.35">
      <c r="A196" s="2">
        <v>45683</v>
      </c>
      <c r="B196" t="s">
        <v>7</v>
      </c>
      <c r="C196" t="s">
        <v>22</v>
      </c>
      <c r="D196">
        <v>779</v>
      </c>
      <c r="E196">
        <v>29</v>
      </c>
      <c r="F196" t="s">
        <v>48</v>
      </c>
      <c r="G196">
        <f>(E196/D196)*100</f>
        <v>3.7227214377406934</v>
      </c>
    </row>
    <row r="197" spans="1:7" x14ac:dyDescent="0.35">
      <c r="A197" s="2">
        <v>45767</v>
      </c>
      <c r="B197" t="s">
        <v>8</v>
      </c>
      <c r="C197" t="s">
        <v>21</v>
      </c>
      <c r="D197">
        <v>852</v>
      </c>
      <c r="E197">
        <v>34</v>
      </c>
      <c r="F197" t="s">
        <v>48</v>
      </c>
      <c r="G197">
        <f>(E197/D197)*100</f>
        <v>3.9906103286384975</v>
      </c>
    </row>
    <row r="198" spans="1:7" x14ac:dyDescent="0.35">
      <c r="A198" s="2">
        <v>45516</v>
      </c>
      <c r="B198" t="s">
        <v>6</v>
      </c>
      <c r="C198" t="s">
        <v>14</v>
      </c>
      <c r="D198">
        <v>585</v>
      </c>
      <c r="E198">
        <v>24</v>
      </c>
      <c r="F198" t="s">
        <v>48</v>
      </c>
      <c r="G198">
        <f>(E198/D198)*100</f>
        <v>4.1025641025641022</v>
      </c>
    </row>
    <row r="199" spans="1:7" x14ac:dyDescent="0.35">
      <c r="A199" s="2">
        <v>45842</v>
      </c>
      <c r="B199" t="s">
        <v>8</v>
      </c>
      <c r="C199" t="s">
        <v>18</v>
      </c>
      <c r="D199">
        <v>921</v>
      </c>
      <c r="E199">
        <v>40</v>
      </c>
      <c r="F199" t="s">
        <v>48</v>
      </c>
      <c r="G199">
        <f>(E199/D199)*100</f>
        <v>4.3431053203040175</v>
      </c>
    </row>
    <row r="200" spans="1:7" x14ac:dyDescent="0.35">
      <c r="A200" s="2">
        <v>45729</v>
      </c>
      <c r="B200" t="s">
        <v>7</v>
      </c>
      <c r="C200" t="s">
        <v>10</v>
      </c>
      <c r="D200">
        <v>706</v>
      </c>
      <c r="E200">
        <v>33</v>
      </c>
      <c r="F200" t="s">
        <v>48</v>
      </c>
      <c r="G200">
        <f>(E200/D200)*100</f>
        <v>4.6742209631728047</v>
      </c>
    </row>
    <row r="201" spans="1:7" x14ac:dyDescent="0.35">
      <c r="A201" s="2">
        <v>45802</v>
      </c>
      <c r="B201" t="s">
        <v>6</v>
      </c>
      <c r="C201" t="s">
        <v>20</v>
      </c>
      <c r="D201">
        <v>601</v>
      </c>
      <c r="E201">
        <v>30</v>
      </c>
      <c r="F201" t="s">
        <v>48</v>
      </c>
      <c r="G201">
        <f>(E201/D201)*100</f>
        <v>4.9916805324459235</v>
      </c>
    </row>
    <row r="202" spans="1:7" x14ac:dyDescent="0.35">
      <c r="A202" s="2">
        <v>45816</v>
      </c>
      <c r="B202" t="s">
        <v>6</v>
      </c>
      <c r="C202" t="s">
        <v>13</v>
      </c>
      <c r="D202">
        <v>317</v>
      </c>
      <c r="E202">
        <v>16</v>
      </c>
      <c r="F202" t="s">
        <v>48</v>
      </c>
      <c r="G202">
        <f>(E202/D202)*100</f>
        <v>5.0473186119873814</v>
      </c>
    </row>
    <row r="203" spans="1:7" x14ac:dyDescent="0.35">
      <c r="A203" s="2">
        <v>45360</v>
      </c>
      <c r="B203" t="s">
        <v>7</v>
      </c>
      <c r="C203" t="s">
        <v>20</v>
      </c>
      <c r="D203">
        <v>624</v>
      </c>
      <c r="E203">
        <v>32</v>
      </c>
      <c r="F203" t="s">
        <v>48</v>
      </c>
      <c r="G203">
        <f>(E203/D203)*100</f>
        <v>5.1282051282051277</v>
      </c>
    </row>
    <row r="204" spans="1:7" x14ac:dyDescent="0.35">
      <c r="A204" s="2">
        <v>45522</v>
      </c>
      <c r="B204" t="s">
        <v>7</v>
      </c>
      <c r="C204" t="s">
        <v>28</v>
      </c>
      <c r="D204">
        <v>940</v>
      </c>
      <c r="E204">
        <v>49</v>
      </c>
      <c r="F204" t="s">
        <v>48</v>
      </c>
      <c r="G204">
        <f>(E204/D204)*100</f>
        <v>5.2127659574468082</v>
      </c>
    </row>
    <row r="205" spans="1:7" x14ac:dyDescent="0.35">
      <c r="A205" s="2">
        <v>45482</v>
      </c>
      <c r="B205" t="s">
        <v>7</v>
      </c>
      <c r="C205" t="s">
        <v>12</v>
      </c>
      <c r="D205">
        <v>286</v>
      </c>
      <c r="E205">
        <v>15</v>
      </c>
      <c r="F205" t="s">
        <v>48</v>
      </c>
      <c r="G205">
        <f>(E205/D205)*100</f>
        <v>5.244755244755245</v>
      </c>
    </row>
    <row r="206" spans="1:7" x14ac:dyDescent="0.35">
      <c r="A206" s="2">
        <v>45917</v>
      </c>
      <c r="B206" t="s">
        <v>7</v>
      </c>
      <c r="C206" t="s">
        <v>21</v>
      </c>
      <c r="D206">
        <v>581</v>
      </c>
      <c r="E206">
        <v>33</v>
      </c>
      <c r="F206" t="s">
        <v>48</v>
      </c>
      <c r="G206">
        <f>(E206/D206)*100</f>
        <v>5.6798623063683307</v>
      </c>
    </row>
    <row r="207" spans="1:7" x14ac:dyDescent="0.35">
      <c r="A207" s="2">
        <v>45421</v>
      </c>
      <c r="B207" t="s">
        <v>6</v>
      </c>
      <c r="C207" t="s">
        <v>24</v>
      </c>
      <c r="D207">
        <v>654</v>
      </c>
      <c r="E207">
        <v>39</v>
      </c>
      <c r="F207" t="s">
        <v>48</v>
      </c>
      <c r="G207">
        <f>(E207/D207)*100</f>
        <v>5.9633027522935782</v>
      </c>
    </row>
    <row r="208" spans="1:7" x14ac:dyDescent="0.35">
      <c r="A208" s="2">
        <v>45518</v>
      </c>
      <c r="B208" t="s">
        <v>8</v>
      </c>
      <c r="C208" t="s">
        <v>25</v>
      </c>
      <c r="D208">
        <v>948</v>
      </c>
      <c r="E208">
        <v>58</v>
      </c>
      <c r="F208" t="s">
        <v>48</v>
      </c>
      <c r="G208">
        <f>(E208/D208)*100</f>
        <v>6.1181434599156121</v>
      </c>
    </row>
    <row r="209" spans="1:7" x14ac:dyDescent="0.35">
      <c r="A209" s="2">
        <v>45390</v>
      </c>
      <c r="B209" t="s">
        <v>8</v>
      </c>
      <c r="C209" t="s">
        <v>10</v>
      </c>
      <c r="D209">
        <v>589</v>
      </c>
      <c r="E209">
        <v>38</v>
      </c>
      <c r="F209" t="s">
        <v>48</v>
      </c>
      <c r="G209">
        <f>(E209/D209)*100</f>
        <v>6.4516129032258061</v>
      </c>
    </row>
    <row r="210" spans="1:7" x14ac:dyDescent="0.35">
      <c r="A210" s="2">
        <v>45296</v>
      </c>
      <c r="B210" t="s">
        <v>8</v>
      </c>
      <c r="C210" t="s">
        <v>28</v>
      </c>
      <c r="D210">
        <v>518</v>
      </c>
      <c r="E210">
        <v>34</v>
      </c>
      <c r="F210" t="s">
        <v>48</v>
      </c>
      <c r="G210">
        <f>(E210/D210)*100</f>
        <v>6.563706563706563</v>
      </c>
    </row>
    <row r="211" spans="1:7" x14ac:dyDescent="0.35">
      <c r="A211" s="2">
        <v>45766</v>
      </c>
      <c r="B211" t="s">
        <v>6</v>
      </c>
      <c r="C211" t="s">
        <v>23</v>
      </c>
      <c r="D211">
        <v>710</v>
      </c>
      <c r="E211">
        <v>55</v>
      </c>
      <c r="F211" t="s">
        <v>48</v>
      </c>
      <c r="G211">
        <f>(E211/D211)*100</f>
        <v>7.7464788732394361</v>
      </c>
    </row>
    <row r="212" spans="1:7" x14ac:dyDescent="0.35">
      <c r="A212" s="2">
        <v>45631</v>
      </c>
      <c r="B212" t="s">
        <v>8</v>
      </c>
      <c r="C212" t="s">
        <v>23</v>
      </c>
      <c r="D212">
        <v>209</v>
      </c>
      <c r="E212">
        <v>19</v>
      </c>
      <c r="F212" t="s">
        <v>48</v>
      </c>
      <c r="G212">
        <f>(E212/D212)*100</f>
        <v>9.0909090909090917</v>
      </c>
    </row>
    <row r="213" spans="1:7" x14ac:dyDescent="0.35">
      <c r="A213" s="2">
        <v>45571</v>
      </c>
      <c r="B213" t="s">
        <v>6</v>
      </c>
      <c r="C213" t="s">
        <v>9</v>
      </c>
      <c r="D213">
        <v>330</v>
      </c>
      <c r="E213">
        <v>3</v>
      </c>
      <c r="F213" t="s">
        <v>32</v>
      </c>
      <c r="G213">
        <f>(E213/D213)*100</f>
        <v>0.90909090909090906</v>
      </c>
    </row>
    <row r="214" spans="1:7" x14ac:dyDescent="0.35">
      <c r="A214" s="2">
        <v>45311</v>
      </c>
      <c r="B214" t="s">
        <v>7</v>
      </c>
      <c r="C214" t="s">
        <v>9</v>
      </c>
      <c r="D214">
        <v>483</v>
      </c>
      <c r="E214">
        <v>6</v>
      </c>
      <c r="F214" t="s">
        <v>32</v>
      </c>
      <c r="G214">
        <f>(E214/D214)*100</f>
        <v>1.2422360248447204</v>
      </c>
    </row>
    <row r="215" spans="1:7" x14ac:dyDescent="0.35">
      <c r="A215" s="2">
        <v>46017</v>
      </c>
      <c r="B215" t="s">
        <v>6</v>
      </c>
      <c r="C215" t="s">
        <v>12</v>
      </c>
      <c r="D215">
        <v>519</v>
      </c>
      <c r="E215">
        <v>8</v>
      </c>
      <c r="F215" t="s">
        <v>32</v>
      </c>
      <c r="G215">
        <f>(E215/D215)*100</f>
        <v>1.5414258188824663</v>
      </c>
    </row>
    <row r="216" spans="1:7" x14ac:dyDescent="0.35">
      <c r="A216" s="2">
        <v>45854</v>
      </c>
      <c r="B216" t="s">
        <v>8</v>
      </c>
      <c r="C216" t="s">
        <v>17</v>
      </c>
      <c r="D216">
        <v>568</v>
      </c>
      <c r="E216">
        <v>9</v>
      </c>
      <c r="F216" t="s">
        <v>32</v>
      </c>
      <c r="G216">
        <f>(E216/D216)*100</f>
        <v>1.584507042253521</v>
      </c>
    </row>
    <row r="217" spans="1:7" x14ac:dyDescent="0.35">
      <c r="A217" s="2">
        <v>45422</v>
      </c>
      <c r="B217" t="s">
        <v>7</v>
      </c>
      <c r="C217" t="s">
        <v>16</v>
      </c>
      <c r="D217">
        <v>376</v>
      </c>
      <c r="E217">
        <v>6</v>
      </c>
      <c r="F217" t="s">
        <v>32</v>
      </c>
      <c r="G217">
        <f>(E217/D217)*100</f>
        <v>1.5957446808510638</v>
      </c>
    </row>
    <row r="218" spans="1:7" x14ac:dyDescent="0.35">
      <c r="A218" s="2">
        <v>45398</v>
      </c>
      <c r="B218" t="s">
        <v>8</v>
      </c>
      <c r="C218" t="s">
        <v>12</v>
      </c>
      <c r="D218">
        <v>596</v>
      </c>
      <c r="E218">
        <v>13</v>
      </c>
      <c r="F218" t="s">
        <v>32</v>
      </c>
      <c r="G218">
        <f>(E218/D218)*100</f>
        <v>2.1812080536912752</v>
      </c>
    </row>
    <row r="219" spans="1:7" x14ac:dyDescent="0.35">
      <c r="A219" s="2">
        <v>45955</v>
      </c>
      <c r="B219" t="s">
        <v>7</v>
      </c>
      <c r="C219" t="s">
        <v>20</v>
      </c>
      <c r="D219">
        <v>361</v>
      </c>
      <c r="E219">
        <v>9</v>
      </c>
      <c r="F219" t="s">
        <v>32</v>
      </c>
      <c r="G219">
        <f>(E219/D219)*100</f>
        <v>2.4930747922437675</v>
      </c>
    </row>
    <row r="220" spans="1:7" x14ac:dyDescent="0.35">
      <c r="A220" s="2">
        <v>45976</v>
      </c>
      <c r="B220" t="s">
        <v>8</v>
      </c>
      <c r="C220" t="s">
        <v>18</v>
      </c>
      <c r="D220">
        <v>712</v>
      </c>
      <c r="E220">
        <v>18</v>
      </c>
      <c r="F220" t="s">
        <v>32</v>
      </c>
      <c r="G220">
        <f>(E220/D220)*100</f>
        <v>2.5280898876404492</v>
      </c>
    </row>
    <row r="221" spans="1:7" x14ac:dyDescent="0.35">
      <c r="A221" s="2">
        <v>45973</v>
      </c>
      <c r="B221" t="s">
        <v>8</v>
      </c>
      <c r="C221" t="s">
        <v>24</v>
      </c>
      <c r="D221">
        <v>227</v>
      </c>
      <c r="E221">
        <v>6</v>
      </c>
      <c r="F221" t="s">
        <v>32</v>
      </c>
      <c r="G221">
        <f>(E221/D221)*100</f>
        <v>2.643171806167401</v>
      </c>
    </row>
    <row r="222" spans="1:7" x14ac:dyDescent="0.35">
      <c r="A222" s="2">
        <v>45404</v>
      </c>
      <c r="B222" t="s">
        <v>6</v>
      </c>
      <c r="C222" t="s">
        <v>16</v>
      </c>
      <c r="D222">
        <v>933</v>
      </c>
      <c r="E222">
        <v>40</v>
      </c>
      <c r="F222" t="s">
        <v>32</v>
      </c>
      <c r="G222">
        <f>(E222/D222)*100</f>
        <v>4.287245444801715</v>
      </c>
    </row>
    <row r="223" spans="1:7" x14ac:dyDescent="0.35">
      <c r="A223" s="2">
        <v>45695</v>
      </c>
      <c r="B223" t="s">
        <v>8</v>
      </c>
      <c r="C223" t="s">
        <v>17</v>
      </c>
      <c r="D223">
        <v>319</v>
      </c>
      <c r="E223">
        <v>14</v>
      </c>
      <c r="F223" t="s">
        <v>32</v>
      </c>
      <c r="G223">
        <f>(E223/D223)*100</f>
        <v>4.3887147335423196</v>
      </c>
    </row>
    <row r="224" spans="1:7" x14ac:dyDescent="0.35">
      <c r="A224" s="2">
        <v>45906</v>
      </c>
      <c r="B224" t="s">
        <v>8</v>
      </c>
      <c r="C224" t="s">
        <v>14</v>
      </c>
      <c r="D224">
        <v>395</v>
      </c>
      <c r="E224">
        <v>21</v>
      </c>
      <c r="F224" t="s">
        <v>32</v>
      </c>
      <c r="G224">
        <f>(E224/D224)*100</f>
        <v>5.3164556962025316</v>
      </c>
    </row>
    <row r="225" spans="1:7" x14ac:dyDescent="0.35">
      <c r="A225" s="2">
        <v>45517</v>
      </c>
      <c r="B225" t="s">
        <v>8</v>
      </c>
      <c r="C225" t="s">
        <v>20</v>
      </c>
      <c r="D225">
        <v>691</v>
      </c>
      <c r="E225">
        <v>38</v>
      </c>
      <c r="F225" t="s">
        <v>32</v>
      </c>
      <c r="G225">
        <f>(E225/D225)*100</f>
        <v>5.4992764109985526</v>
      </c>
    </row>
    <row r="226" spans="1:7" x14ac:dyDescent="0.35">
      <c r="A226" s="2">
        <v>45511</v>
      </c>
      <c r="B226" t="s">
        <v>6</v>
      </c>
      <c r="C226" t="s">
        <v>18</v>
      </c>
      <c r="D226">
        <v>274</v>
      </c>
      <c r="E226">
        <v>18</v>
      </c>
      <c r="F226" t="s">
        <v>32</v>
      </c>
      <c r="G226">
        <f>(E226/D226)*100</f>
        <v>6.5693430656934311</v>
      </c>
    </row>
    <row r="227" spans="1:7" x14ac:dyDescent="0.35">
      <c r="A227" s="2">
        <v>45403</v>
      </c>
      <c r="B227" t="s">
        <v>8</v>
      </c>
      <c r="C227" t="s">
        <v>11</v>
      </c>
      <c r="D227">
        <v>535</v>
      </c>
      <c r="E227">
        <v>36</v>
      </c>
      <c r="F227" t="s">
        <v>32</v>
      </c>
      <c r="G227">
        <f>(E227/D227)*100</f>
        <v>6.7289719626168223</v>
      </c>
    </row>
    <row r="228" spans="1:7" x14ac:dyDescent="0.35">
      <c r="A228" s="2">
        <v>45492</v>
      </c>
      <c r="B228" t="s">
        <v>6</v>
      </c>
      <c r="C228" t="s">
        <v>23</v>
      </c>
      <c r="D228">
        <v>684</v>
      </c>
      <c r="E228">
        <v>48</v>
      </c>
      <c r="F228" t="s">
        <v>32</v>
      </c>
      <c r="G228">
        <f>(E228/D228)*100</f>
        <v>7.0175438596491224</v>
      </c>
    </row>
    <row r="229" spans="1:7" x14ac:dyDescent="0.35">
      <c r="A229" s="2">
        <v>45983</v>
      </c>
      <c r="B229" t="s">
        <v>8</v>
      </c>
      <c r="C229" t="s">
        <v>10</v>
      </c>
      <c r="D229">
        <v>295</v>
      </c>
      <c r="E229">
        <v>24</v>
      </c>
      <c r="F229" t="s">
        <v>32</v>
      </c>
      <c r="G229">
        <f>(E229/D229)*100</f>
        <v>8.1355932203389827</v>
      </c>
    </row>
    <row r="230" spans="1:7" x14ac:dyDescent="0.35">
      <c r="A230" s="2">
        <v>45444</v>
      </c>
      <c r="B230" t="s">
        <v>8</v>
      </c>
      <c r="C230" t="s">
        <v>21</v>
      </c>
      <c r="D230">
        <v>332</v>
      </c>
      <c r="E230">
        <v>29</v>
      </c>
      <c r="F230" t="s">
        <v>32</v>
      </c>
      <c r="G230">
        <f>(E230/D230)*100</f>
        <v>8.7349397590361448</v>
      </c>
    </row>
    <row r="231" spans="1:7" x14ac:dyDescent="0.35">
      <c r="A231" s="2">
        <v>45772</v>
      </c>
      <c r="B231" t="s">
        <v>8</v>
      </c>
      <c r="C231" t="s">
        <v>22</v>
      </c>
      <c r="D231">
        <v>892</v>
      </c>
      <c r="E231">
        <v>84</v>
      </c>
      <c r="F231" t="s">
        <v>32</v>
      </c>
      <c r="G231">
        <f>(E231/D231)*100</f>
        <v>9.4170403587443943</v>
      </c>
    </row>
    <row r="232" spans="1:7" x14ac:dyDescent="0.35">
      <c r="A232" s="2">
        <v>45309</v>
      </c>
      <c r="B232" t="s">
        <v>8</v>
      </c>
      <c r="C232" t="s">
        <v>18</v>
      </c>
      <c r="D232">
        <v>842</v>
      </c>
      <c r="E232">
        <v>12</v>
      </c>
      <c r="F232" t="s">
        <v>50</v>
      </c>
      <c r="G232">
        <f>(E232/D232)*100</f>
        <v>1.4251781472684086</v>
      </c>
    </row>
    <row r="233" spans="1:7" x14ac:dyDescent="0.35">
      <c r="A233" s="2">
        <v>45576</v>
      </c>
      <c r="B233" t="s">
        <v>6</v>
      </c>
      <c r="C233" t="s">
        <v>11</v>
      </c>
      <c r="D233">
        <v>235</v>
      </c>
      <c r="E233">
        <v>4</v>
      </c>
      <c r="F233" t="s">
        <v>50</v>
      </c>
      <c r="G233">
        <f>(E233/D233)*100</f>
        <v>1.7021276595744681</v>
      </c>
    </row>
    <row r="234" spans="1:7" x14ac:dyDescent="0.35">
      <c r="A234" s="2">
        <v>45568</v>
      </c>
      <c r="B234" t="s">
        <v>8</v>
      </c>
      <c r="C234" t="s">
        <v>22</v>
      </c>
      <c r="D234">
        <v>629</v>
      </c>
      <c r="E234">
        <v>11</v>
      </c>
      <c r="F234" t="s">
        <v>50</v>
      </c>
      <c r="G234">
        <f>(E234/D234)*100</f>
        <v>1.7488076311605723</v>
      </c>
    </row>
    <row r="235" spans="1:7" x14ac:dyDescent="0.35">
      <c r="A235" s="2">
        <v>45671</v>
      </c>
      <c r="B235" t="s">
        <v>8</v>
      </c>
      <c r="C235" t="s">
        <v>25</v>
      </c>
      <c r="D235">
        <v>437</v>
      </c>
      <c r="E235">
        <v>9</v>
      </c>
      <c r="F235" t="s">
        <v>50</v>
      </c>
      <c r="G235">
        <f>(E235/D235)*100</f>
        <v>2.0594965675057209</v>
      </c>
    </row>
    <row r="236" spans="1:7" x14ac:dyDescent="0.35">
      <c r="A236" s="2">
        <v>45664</v>
      </c>
      <c r="B236" t="s">
        <v>7</v>
      </c>
      <c r="C236" t="s">
        <v>20</v>
      </c>
      <c r="D236">
        <v>944</v>
      </c>
      <c r="E236">
        <v>23</v>
      </c>
      <c r="F236" t="s">
        <v>50</v>
      </c>
      <c r="G236">
        <f>(E236/D236)*100</f>
        <v>2.4364406779661016</v>
      </c>
    </row>
    <row r="237" spans="1:7" x14ac:dyDescent="0.35">
      <c r="A237" s="2">
        <v>45681</v>
      </c>
      <c r="B237" t="s">
        <v>6</v>
      </c>
      <c r="C237" t="s">
        <v>23</v>
      </c>
      <c r="D237">
        <v>233</v>
      </c>
      <c r="E237">
        <v>6</v>
      </c>
      <c r="F237" t="s">
        <v>50</v>
      </c>
      <c r="G237">
        <f>(E237/D237)*100</f>
        <v>2.5751072961373391</v>
      </c>
    </row>
    <row r="238" spans="1:7" x14ac:dyDescent="0.35">
      <c r="A238" s="2">
        <v>45676</v>
      </c>
      <c r="B238" t="s">
        <v>7</v>
      </c>
      <c r="C238" t="s">
        <v>25</v>
      </c>
      <c r="D238">
        <v>546</v>
      </c>
      <c r="E238">
        <v>18</v>
      </c>
      <c r="F238" t="s">
        <v>50</v>
      </c>
      <c r="G238">
        <f>(E238/D238)*100</f>
        <v>3.296703296703297</v>
      </c>
    </row>
    <row r="239" spans="1:7" x14ac:dyDescent="0.35">
      <c r="A239" s="2">
        <v>45904</v>
      </c>
      <c r="B239" t="s">
        <v>7</v>
      </c>
      <c r="C239" t="s">
        <v>9</v>
      </c>
      <c r="D239">
        <v>872</v>
      </c>
      <c r="E239">
        <v>30</v>
      </c>
      <c r="F239" t="s">
        <v>50</v>
      </c>
      <c r="G239">
        <f>(E239/D239)*100</f>
        <v>3.4403669724770642</v>
      </c>
    </row>
    <row r="240" spans="1:7" x14ac:dyDescent="0.35">
      <c r="A240" s="2">
        <v>45866</v>
      </c>
      <c r="B240" t="s">
        <v>8</v>
      </c>
      <c r="C240" t="s">
        <v>15</v>
      </c>
      <c r="D240">
        <v>837</v>
      </c>
      <c r="E240">
        <v>29</v>
      </c>
      <c r="F240" t="s">
        <v>50</v>
      </c>
      <c r="G240">
        <f>(E240/D240)*100</f>
        <v>3.4647550776583032</v>
      </c>
    </row>
    <row r="241" spans="1:7" x14ac:dyDescent="0.35">
      <c r="A241" s="2">
        <v>45765</v>
      </c>
      <c r="B241" t="s">
        <v>8</v>
      </c>
      <c r="C241" t="s">
        <v>27</v>
      </c>
      <c r="D241">
        <v>553</v>
      </c>
      <c r="E241">
        <v>20</v>
      </c>
      <c r="F241" t="s">
        <v>50</v>
      </c>
      <c r="G241">
        <f>(E241/D241)*100</f>
        <v>3.6166365280289332</v>
      </c>
    </row>
    <row r="242" spans="1:7" x14ac:dyDescent="0.35">
      <c r="A242" s="2">
        <v>45961</v>
      </c>
      <c r="B242" t="s">
        <v>7</v>
      </c>
      <c r="C242" t="s">
        <v>20</v>
      </c>
      <c r="D242">
        <v>982</v>
      </c>
      <c r="E242">
        <v>38</v>
      </c>
      <c r="F242" t="s">
        <v>50</v>
      </c>
      <c r="G242">
        <f>(E242/D242)*100</f>
        <v>3.8696537678207736</v>
      </c>
    </row>
    <row r="243" spans="1:7" x14ac:dyDescent="0.35">
      <c r="A243" s="2">
        <v>45857</v>
      </c>
      <c r="B243" t="s">
        <v>8</v>
      </c>
      <c r="C243" t="s">
        <v>21</v>
      </c>
      <c r="D243">
        <v>241</v>
      </c>
      <c r="E243">
        <v>10</v>
      </c>
      <c r="F243" t="s">
        <v>50</v>
      </c>
      <c r="G243">
        <f>(E243/D243)*100</f>
        <v>4.1493775933609953</v>
      </c>
    </row>
    <row r="244" spans="1:7" x14ac:dyDescent="0.35">
      <c r="A244" s="2">
        <v>45479</v>
      </c>
      <c r="B244" t="s">
        <v>8</v>
      </c>
      <c r="C244" t="s">
        <v>15</v>
      </c>
      <c r="D244">
        <v>432</v>
      </c>
      <c r="E244">
        <v>18</v>
      </c>
      <c r="F244" t="s">
        <v>50</v>
      </c>
      <c r="G244">
        <f>(E244/D244)*100</f>
        <v>4.1666666666666661</v>
      </c>
    </row>
    <row r="245" spans="1:7" x14ac:dyDescent="0.35">
      <c r="A245" s="2">
        <v>45390</v>
      </c>
      <c r="B245" t="s">
        <v>7</v>
      </c>
      <c r="C245" t="s">
        <v>10</v>
      </c>
      <c r="D245">
        <v>390</v>
      </c>
      <c r="E245">
        <v>18</v>
      </c>
      <c r="F245" t="s">
        <v>50</v>
      </c>
      <c r="G245">
        <f>(E245/D245)*100</f>
        <v>4.6153846153846159</v>
      </c>
    </row>
    <row r="246" spans="1:7" x14ac:dyDescent="0.35">
      <c r="A246" s="2">
        <v>45439</v>
      </c>
      <c r="B246" t="s">
        <v>6</v>
      </c>
      <c r="C246" t="s">
        <v>16</v>
      </c>
      <c r="D246">
        <v>387</v>
      </c>
      <c r="E246">
        <v>20</v>
      </c>
      <c r="F246" t="s">
        <v>50</v>
      </c>
      <c r="G246">
        <f>(E246/D246)*100</f>
        <v>5.1679586563307494</v>
      </c>
    </row>
    <row r="247" spans="1:7" x14ac:dyDescent="0.35">
      <c r="A247" s="2">
        <v>45524</v>
      </c>
      <c r="B247" t="s">
        <v>7</v>
      </c>
      <c r="C247" t="s">
        <v>28</v>
      </c>
      <c r="D247">
        <v>808</v>
      </c>
      <c r="E247">
        <v>44</v>
      </c>
      <c r="F247" t="s">
        <v>50</v>
      </c>
      <c r="G247">
        <f>(E247/D247)*100</f>
        <v>5.4455445544554459</v>
      </c>
    </row>
    <row r="248" spans="1:7" x14ac:dyDescent="0.35">
      <c r="A248" s="2">
        <v>45780</v>
      </c>
      <c r="B248" t="s">
        <v>7</v>
      </c>
      <c r="C248" t="s">
        <v>16</v>
      </c>
      <c r="D248">
        <v>563</v>
      </c>
      <c r="E248">
        <v>33</v>
      </c>
      <c r="F248" t="s">
        <v>50</v>
      </c>
      <c r="G248">
        <f>(E248/D248)*100</f>
        <v>5.8614564831261102</v>
      </c>
    </row>
    <row r="249" spans="1:7" x14ac:dyDescent="0.35">
      <c r="A249" s="2">
        <v>45865</v>
      </c>
      <c r="B249" t="s">
        <v>7</v>
      </c>
      <c r="C249" t="s">
        <v>13</v>
      </c>
      <c r="D249">
        <v>545</v>
      </c>
      <c r="E249">
        <v>32</v>
      </c>
      <c r="F249" t="s">
        <v>50</v>
      </c>
      <c r="G249">
        <f>(E249/D249)*100</f>
        <v>5.8715596330275233</v>
      </c>
    </row>
    <row r="250" spans="1:7" x14ac:dyDescent="0.35">
      <c r="A250" s="2">
        <v>45312</v>
      </c>
      <c r="B250" t="s">
        <v>7</v>
      </c>
      <c r="C250" t="s">
        <v>24</v>
      </c>
      <c r="D250">
        <v>765</v>
      </c>
      <c r="E250">
        <v>48</v>
      </c>
      <c r="F250" t="s">
        <v>50</v>
      </c>
      <c r="G250">
        <f>(E250/D250)*100</f>
        <v>6.2745098039215685</v>
      </c>
    </row>
    <row r="251" spans="1:7" x14ac:dyDescent="0.35">
      <c r="A251" s="2">
        <v>45481</v>
      </c>
      <c r="B251" t="s">
        <v>7</v>
      </c>
      <c r="C251" t="s">
        <v>15</v>
      </c>
      <c r="D251">
        <v>560</v>
      </c>
      <c r="E251">
        <v>38</v>
      </c>
      <c r="F251" t="s">
        <v>50</v>
      </c>
      <c r="G251">
        <f>(E251/D251)*100</f>
        <v>6.7857142857142856</v>
      </c>
    </row>
    <row r="252" spans="1:7" x14ac:dyDescent="0.35">
      <c r="A252" s="2">
        <v>45884</v>
      </c>
      <c r="B252" t="s">
        <v>7</v>
      </c>
      <c r="C252" t="s">
        <v>16</v>
      </c>
      <c r="D252">
        <v>736</v>
      </c>
      <c r="E252">
        <v>56</v>
      </c>
      <c r="F252" t="s">
        <v>50</v>
      </c>
      <c r="G252">
        <f>(E252/D252)*100</f>
        <v>7.608695652173914</v>
      </c>
    </row>
    <row r="253" spans="1:7" x14ac:dyDescent="0.35">
      <c r="A253" s="2">
        <v>45622</v>
      </c>
      <c r="B253" t="s">
        <v>8</v>
      </c>
      <c r="C253" t="s">
        <v>25</v>
      </c>
      <c r="D253">
        <v>661</v>
      </c>
      <c r="E253">
        <v>62</v>
      </c>
      <c r="F253" t="s">
        <v>50</v>
      </c>
      <c r="G253">
        <f>(E253/D253)*100</f>
        <v>9.379727685325264</v>
      </c>
    </row>
    <row r="254" spans="1:7" x14ac:dyDescent="0.35">
      <c r="A254" s="2">
        <v>45648</v>
      </c>
      <c r="B254" t="s">
        <v>8</v>
      </c>
      <c r="C254" t="s">
        <v>24</v>
      </c>
      <c r="D254">
        <v>829</v>
      </c>
      <c r="E254">
        <v>82</v>
      </c>
      <c r="F254" t="s">
        <v>50</v>
      </c>
      <c r="G254">
        <f>(E254/D254)*100</f>
        <v>9.8914354644149576</v>
      </c>
    </row>
    <row r="255" spans="1:7" x14ac:dyDescent="0.35">
      <c r="A255" s="2">
        <v>45478</v>
      </c>
      <c r="B255" t="s">
        <v>8</v>
      </c>
      <c r="C255" t="s">
        <v>19</v>
      </c>
      <c r="D255">
        <v>770</v>
      </c>
      <c r="E255">
        <v>77</v>
      </c>
      <c r="F255" t="s">
        <v>50</v>
      </c>
      <c r="G255">
        <f>(E255/D255)*100</f>
        <v>10</v>
      </c>
    </row>
    <row r="256" spans="1:7" x14ac:dyDescent="0.35">
      <c r="A256" s="2">
        <v>45419</v>
      </c>
      <c r="B256" t="s">
        <v>8</v>
      </c>
      <c r="C256" t="s">
        <v>25</v>
      </c>
      <c r="D256">
        <v>748</v>
      </c>
      <c r="E256">
        <v>76</v>
      </c>
      <c r="F256" t="s">
        <v>50</v>
      </c>
      <c r="G256">
        <f>(E256/D256)*100</f>
        <v>10.160427807486631</v>
      </c>
    </row>
    <row r="257" spans="1:7" x14ac:dyDescent="0.35">
      <c r="A257" s="2">
        <v>45340</v>
      </c>
      <c r="B257" t="s">
        <v>7</v>
      </c>
      <c r="C257" t="s">
        <v>17</v>
      </c>
      <c r="D257">
        <v>920</v>
      </c>
      <c r="E257">
        <v>7</v>
      </c>
      <c r="F257" t="s">
        <v>52</v>
      </c>
      <c r="G257">
        <f>(E257/D257)*100</f>
        <v>0.76086956521739135</v>
      </c>
    </row>
    <row r="258" spans="1:7" x14ac:dyDescent="0.35">
      <c r="A258" s="2">
        <v>45306</v>
      </c>
      <c r="B258" t="s">
        <v>8</v>
      </c>
      <c r="C258" t="s">
        <v>26</v>
      </c>
      <c r="D258">
        <v>456</v>
      </c>
      <c r="E258">
        <v>7</v>
      </c>
      <c r="F258" t="s">
        <v>52</v>
      </c>
      <c r="G258">
        <f>(E258/D258)*100</f>
        <v>1.5350877192982455</v>
      </c>
    </row>
    <row r="259" spans="1:7" x14ac:dyDescent="0.35">
      <c r="A259" s="2">
        <v>45679</v>
      </c>
      <c r="B259" t="s">
        <v>6</v>
      </c>
      <c r="C259" t="s">
        <v>9</v>
      </c>
      <c r="D259">
        <v>207</v>
      </c>
      <c r="E259">
        <v>4</v>
      </c>
      <c r="F259" t="s">
        <v>52</v>
      </c>
      <c r="G259">
        <f>(E259/D259)*100</f>
        <v>1.932367149758454</v>
      </c>
    </row>
    <row r="260" spans="1:7" x14ac:dyDescent="0.35">
      <c r="A260" s="2">
        <v>45575</v>
      </c>
      <c r="B260" t="s">
        <v>6</v>
      </c>
      <c r="C260" t="s">
        <v>15</v>
      </c>
      <c r="D260">
        <v>398</v>
      </c>
      <c r="E260">
        <v>16</v>
      </c>
      <c r="F260" t="s">
        <v>52</v>
      </c>
      <c r="G260">
        <f>(E260/D260)*100</f>
        <v>4.0201005025125625</v>
      </c>
    </row>
    <row r="261" spans="1:7" x14ac:dyDescent="0.35">
      <c r="A261" s="2">
        <v>45481</v>
      </c>
      <c r="B261" t="s">
        <v>6</v>
      </c>
      <c r="C261" t="s">
        <v>9</v>
      </c>
      <c r="D261">
        <v>945</v>
      </c>
      <c r="E261">
        <v>46</v>
      </c>
      <c r="F261" t="s">
        <v>52</v>
      </c>
      <c r="G261">
        <f>(E261/D261)*100</f>
        <v>4.8677248677248679</v>
      </c>
    </row>
    <row r="262" spans="1:7" x14ac:dyDescent="0.35">
      <c r="A262" s="2">
        <v>45829</v>
      </c>
      <c r="B262" t="s">
        <v>6</v>
      </c>
      <c r="C262" t="s">
        <v>22</v>
      </c>
      <c r="D262">
        <v>648</v>
      </c>
      <c r="E262">
        <v>32</v>
      </c>
      <c r="F262" t="s">
        <v>52</v>
      </c>
      <c r="G262">
        <f>(E262/D262)*100</f>
        <v>4.9382716049382713</v>
      </c>
    </row>
    <row r="263" spans="1:7" x14ac:dyDescent="0.35">
      <c r="A263" s="2">
        <v>45319</v>
      </c>
      <c r="B263" t="s">
        <v>6</v>
      </c>
      <c r="C263" t="s">
        <v>10</v>
      </c>
      <c r="D263">
        <v>715</v>
      </c>
      <c r="E263">
        <v>37</v>
      </c>
      <c r="F263" t="s">
        <v>52</v>
      </c>
      <c r="G263">
        <f>(E263/D263)*100</f>
        <v>5.174825174825175</v>
      </c>
    </row>
    <row r="264" spans="1:7" x14ac:dyDescent="0.35">
      <c r="A264" s="2">
        <v>45751</v>
      </c>
      <c r="B264" t="s">
        <v>6</v>
      </c>
      <c r="C264" t="s">
        <v>19</v>
      </c>
      <c r="D264">
        <v>658</v>
      </c>
      <c r="E264">
        <v>36</v>
      </c>
      <c r="F264" t="s">
        <v>52</v>
      </c>
      <c r="G264">
        <f>(E264/D264)*100</f>
        <v>5.4711246200607899</v>
      </c>
    </row>
    <row r="265" spans="1:7" x14ac:dyDescent="0.35">
      <c r="A265" s="2">
        <v>45555</v>
      </c>
      <c r="B265" t="s">
        <v>7</v>
      </c>
      <c r="C265" t="s">
        <v>23</v>
      </c>
      <c r="D265">
        <v>358</v>
      </c>
      <c r="E265">
        <v>27</v>
      </c>
      <c r="F265" t="s">
        <v>52</v>
      </c>
      <c r="G265">
        <f>(E265/D265)*100</f>
        <v>7.5418994413407825</v>
      </c>
    </row>
    <row r="266" spans="1:7" x14ac:dyDescent="0.35">
      <c r="A266" s="2">
        <v>45847</v>
      </c>
      <c r="B266" t="s">
        <v>8</v>
      </c>
      <c r="C266" t="s">
        <v>14</v>
      </c>
      <c r="D266">
        <v>326</v>
      </c>
      <c r="E266">
        <v>7</v>
      </c>
      <c r="F266" t="s">
        <v>46</v>
      </c>
      <c r="G266">
        <f>(E266/D266)*100</f>
        <v>2.147239263803681</v>
      </c>
    </row>
    <row r="267" spans="1:7" x14ac:dyDescent="0.35">
      <c r="A267" s="2">
        <v>45861</v>
      </c>
      <c r="B267" t="s">
        <v>6</v>
      </c>
      <c r="C267" t="s">
        <v>14</v>
      </c>
      <c r="D267">
        <v>417</v>
      </c>
      <c r="E267">
        <v>10</v>
      </c>
      <c r="F267" t="s">
        <v>46</v>
      </c>
      <c r="G267">
        <f>(E267/D267)*100</f>
        <v>2.3980815347721824</v>
      </c>
    </row>
    <row r="268" spans="1:7" x14ac:dyDescent="0.35">
      <c r="A268" s="2">
        <v>45901</v>
      </c>
      <c r="B268" t="s">
        <v>7</v>
      </c>
      <c r="C268" t="s">
        <v>22</v>
      </c>
      <c r="D268">
        <v>634</v>
      </c>
      <c r="E268">
        <v>19</v>
      </c>
      <c r="F268" t="s">
        <v>46</v>
      </c>
      <c r="G268">
        <f>(E268/D268)*100</f>
        <v>2.9968454258675079</v>
      </c>
    </row>
    <row r="269" spans="1:7" x14ac:dyDescent="0.35">
      <c r="A269" s="2">
        <v>45422</v>
      </c>
      <c r="B269" t="s">
        <v>7</v>
      </c>
      <c r="C269" t="s">
        <v>11</v>
      </c>
      <c r="D269">
        <v>428</v>
      </c>
      <c r="E269">
        <v>13</v>
      </c>
      <c r="F269" t="s">
        <v>46</v>
      </c>
      <c r="G269">
        <f>(E269/D269)*100</f>
        <v>3.0373831775700935</v>
      </c>
    </row>
    <row r="270" spans="1:7" x14ac:dyDescent="0.35">
      <c r="A270" s="2">
        <v>45467</v>
      </c>
      <c r="B270" t="s">
        <v>6</v>
      </c>
      <c r="C270" t="s">
        <v>25</v>
      </c>
      <c r="D270">
        <v>752</v>
      </c>
      <c r="E270">
        <v>25</v>
      </c>
      <c r="F270" t="s">
        <v>46</v>
      </c>
      <c r="G270">
        <f>(E270/D270)*100</f>
        <v>3.3244680851063828</v>
      </c>
    </row>
    <row r="271" spans="1:7" x14ac:dyDescent="0.35">
      <c r="A271" s="2">
        <v>45535</v>
      </c>
      <c r="B271" t="s">
        <v>6</v>
      </c>
      <c r="C271" t="s">
        <v>27</v>
      </c>
      <c r="D271">
        <v>871</v>
      </c>
      <c r="E271">
        <v>38</v>
      </c>
      <c r="F271" t="s">
        <v>46</v>
      </c>
      <c r="G271">
        <f>(E271/D271)*100</f>
        <v>4.3628013777267505</v>
      </c>
    </row>
    <row r="272" spans="1:7" x14ac:dyDescent="0.35">
      <c r="A272" s="2">
        <v>45313</v>
      </c>
      <c r="B272" t="s">
        <v>8</v>
      </c>
      <c r="C272" t="s">
        <v>16</v>
      </c>
      <c r="D272">
        <v>994</v>
      </c>
      <c r="E272">
        <v>44</v>
      </c>
      <c r="F272" t="s">
        <v>46</v>
      </c>
      <c r="G272">
        <f>(E272/D272)*100</f>
        <v>4.4265593561368206</v>
      </c>
    </row>
    <row r="273" spans="1:7" x14ac:dyDescent="0.35">
      <c r="A273" s="2">
        <v>45694</v>
      </c>
      <c r="B273" t="s">
        <v>6</v>
      </c>
      <c r="C273" t="s">
        <v>14</v>
      </c>
      <c r="D273">
        <v>697</v>
      </c>
      <c r="E273">
        <v>32</v>
      </c>
      <c r="F273" t="s">
        <v>46</v>
      </c>
      <c r="G273">
        <f>(E273/D273)*100</f>
        <v>4.5911047345767582</v>
      </c>
    </row>
    <row r="274" spans="1:7" x14ac:dyDescent="0.35">
      <c r="A274" s="2">
        <v>45932</v>
      </c>
      <c r="B274" t="s">
        <v>7</v>
      </c>
      <c r="C274" t="s">
        <v>15</v>
      </c>
      <c r="D274">
        <v>238</v>
      </c>
      <c r="E274">
        <v>12</v>
      </c>
      <c r="F274" t="s">
        <v>46</v>
      </c>
      <c r="G274">
        <f>(E274/D274)*100</f>
        <v>5.0420168067226889</v>
      </c>
    </row>
    <row r="275" spans="1:7" x14ac:dyDescent="0.35">
      <c r="A275" s="2">
        <v>45391</v>
      </c>
      <c r="B275" t="s">
        <v>6</v>
      </c>
      <c r="C275" t="s">
        <v>14</v>
      </c>
      <c r="D275">
        <v>942</v>
      </c>
      <c r="E275">
        <v>70</v>
      </c>
      <c r="F275" t="s">
        <v>46</v>
      </c>
      <c r="G275">
        <f>(E275/D275)*100</f>
        <v>7.4309978768577496</v>
      </c>
    </row>
    <row r="276" spans="1:7" x14ac:dyDescent="0.35">
      <c r="A276" s="2">
        <v>45452</v>
      </c>
      <c r="B276" t="s">
        <v>8</v>
      </c>
      <c r="C276" t="s">
        <v>14</v>
      </c>
      <c r="D276">
        <v>555</v>
      </c>
      <c r="E276">
        <v>42</v>
      </c>
      <c r="F276" t="s">
        <v>46</v>
      </c>
      <c r="G276">
        <f>(E276/D276)*100</f>
        <v>7.5675675675675684</v>
      </c>
    </row>
    <row r="277" spans="1:7" x14ac:dyDescent="0.35">
      <c r="A277" s="2">
        <v>45988</v>
      </c>
      <c r="B277" t="s">
        <v>7</v>
      </c>
      <c r="C277" t="s">
        <v>12</v>
      </c>
      <c r="D277">
        <v>753</v>
      </c>
      <c r="E277">
        <v>64</v>
      </c>
      <c r="F277" t="s">
        <v>46</v>
      </c>
      <c r="G277">
        <f>(E277/D277)*100</f>
        <v>8.4993359893758296</v>
      </c>
    </row>
    <row r="278" spans="1:7" x14ac:dyDescent="0.35">
      <c r="A278" s="2">
        <v>45692</v>
      </c>
      <c r="B278" t="s">
        <v>8</v>
      </c>
      <c r="C278" t="s">
        <v>14</v>
      </c>
      <c r="D278">
        <v>409</v>
      </c>
      <c r="E278">
        <v>37</v>
      </c>
      <c r="F278" t="s">
        <v>46</v>
      </c>
      <c r="G278">
        <f>(E278/D278)*100</f>
        <v>9.0464547677261606</v>
      </c>
    </row>
    <row r="279" spans="1:7" x14ac:dyDescent="0.35">
      <c r="A279" s="2">
        <v>45993</v>
      </c>
      <c r="B279" t="s">
        <v>7</v>
      </c>
      <c r="C279" t="s">
        <v>11</v>
      </c>
      <c r="D279">
        <v>310</v>
      </c>
      <c r="E279">
        <v>4</v>
      </c>
      <c r="F279" t="s">
        <v>29</v>
      </c>
      <c r="G279">
        <f>(E279/D279)*100</f>
        <v>1.2903225806451613</v>
      </c>
    </row>
    <row r="280" spans="1:7" x14ac:dyDescent="0.35">
      <c r="A280" s="2">
        <v>45650</v>
      </c>
      <c r="B280" t="s">
        <v>8</v>
      </c>
      <c r="C280" t="s">
        <v>12</v>
      </c>
      <c r="D280">
        <v>541</v>
      </c>
      <c r="E280">
        <v>11</v>
      </c>
      <c r="F280" t="s">
        <v>29</v>
      </c>
      <c r="G280">
        <f>(E280/D280)*100</f>
        <v>2.033271719038817</v>
      </c>
    </row>
    <row r="281" spans="1:7" x14ac:dyDescent="0.35">
      <c r="A281" s="2">
        <v>45522</v>
      </c>
      <c r="B281" t="s">
        <v>6</v>
      </c>
      <c r="C281" t="s">
        <v>27</v>
      </c>
      <c r="D281">
        <v>753</v>
      </c>
      <c r="E281">
        <v>17</v>
      </c>
      <c r="F281" t="s">
        <v>29</v>
      </c>
      <c r="G281">
        <f>(E281/D281)*100</f>
        <v>2.2576361221779551</v>
      </c>
    </row>
    <row r="282" spans="1:7" x14ac:dyDescent="0.35">
      <c r="A282" s="2">
        <v>45349</v>
      </c>
      <c r="B282" t="s">
        <v>8</v>
      </c>
      <c r="C282" t="s">
        <v>9</v>
      </c>
      <c r="D282">
        <v>340</v>
      </c>
      <c r="E282">
        <v>8</v>
      </c>
      <c r="F282" t="s">
        <v>29</v>
      </c>
      <c r="G282">
        <f>(E282/D282)*100</f>
        <v>2.3529411764705883</v>
      </c>
    </row>
    <row r="283" spans="1:7" x14ac:dyDescent="0.35">
      <c r="A283" s="2">
        <v>45975</v>
      </c>
      <c r="B283" t="s">
        <v>8</v>
      </c>
      <c r="C283" t="s">
        <v>12</v>
      </c>
      <c r="D283">
        <v>329</v>
      </c>
      <c r="E283">
        <v>8</v>
      </c>
      <c r="F283" t="s">
        <v>29</v>
      </c>
      <c r="G283">
        <f>(E283/D283)*100</f>
        <v>2.43161094224924</v>
      </c>
    </row>
    <row r="284" spans="1:7" x14ac:dyDescent="0.35">
      <c r="A284" s="2">
        <v>45543</v>
      </c>
      <c r="B284" t="s">
        <v>6</v>
      </c>
      <c r="C284" t="s">
        <v>27</v>
      </c>
      <c r="D284">
        <v>404</v>
      </c>
      <c r="E284">
        <v>10</v>
      </c>
      <c r="F284" t="s">
        <v>29</v>
      </c>
      <c r="G284">
        <f>(E284/D284)*100</f>
        <v>2.4752475247524752</v>
      </c>
    </row>
    <row r="285" spans="1:7" x14ac:dyDescent="0.35">
      <c r="A285" s="2">
        <v>45637</v>
      </c>
      <c r="B285" t="s">
        <v>7</v>
      </c>
      <c r="C285" t="s">
        <v>16</v>
      </c>
      <c r="D285">
        <v>572</v>
      </c>
      <c r="E285">
        <v>15</v>
      </c>
      <c r="F285" t="s">
        <v>29</v>
      </c>
      <c r="G285">
        <f>(E285/D285)*100</f>
        <v>2.6223776223776225</v>
      </c>
    </row>
    <row r="286" spans="1:7" x14ac:dyDescent="0.35">
      <c r="A286" s="2">
        <v>45641</v>
      </c>
      <c r="B286" t="s">
        <v>8</v>
      </c>
      <c r="C286" t="s">
        <v>21</v>
      </c>
      <c r="D286">
        <v>804</v>
      </c>
      <c r="E286">
        <v>28</v>
      </c>
      <c r="F286" t="s">
        <v>29</v>
      </c>
      <c r="G286">
        <f>(E286/D286)*100</f>
        <v>3.4825870646766171</v>
      </c>
    </row>
    <row r="287" spans="1:7" x14ac:dyDescent="0.35">
      <c r="A287" s="2">
        <v>45394</v>
      </c>
      <c r="B287" t="s">
        <v>6</v>
      </c>
      <c r="C287" t="s">
        <v>9</v>
      </c>
      <c r="D287">
        <v>744</v>
      </c>
      <c r="E287">
        <v>32</v>
      </c>
      <c r="F287" t="s">
        <v>29</v>
      </c>
      <c r="G287">
        <f>(E287/D287)*100</f>
        <v>4.3010752688172049</v>
      </c>
    </row>
    <row r="288" spans="1:7" x14ac:dyDescent="0.35">
      <c r="A288" s="2">
        <v>45911</v>
      </c>
      <c r="B288" t="s">
        <v>7</v>
      </c>
      <c r="C288" t="s">
        <v>16</v>
      </c>
      <c r="D288">
        <v>478</v>
      </c>
      <c r="E288">
        <v>23</v>
      </c>
      <c r="F288" t="s">
        <v>29</v>
      </c>
      <c r="G288">
        <f>(E288/D288)*100</f>
        <v>4.8117154811715483</v>
      </c>
    </row>
    <row r="289" spans="1:7" x14ac:dyDescent="0.35">
      <c r="A289" s="2">
        <v>45678</v>
      </c>
      <c r="B289" t="s">
        <v>8</v>
      </c>
      <c r="C289" t="s">
        <v>10</v>
      </c>
      <c r="D289">
        <v>731</v>
      </c>
      <c r="E289">
        <v>37</v>
      </c>
      <c r="F289" t="s">
        <v>29</v>
      </c>
      <c r="G289">
        <f>(E289/D289)*100</f>
        <v>5.0615595075239401</v>
      </c>
    </row>
    <row r="290" spans="1:7" x14ac:dyDescent="0.35">
      <c r="A290" s="2">
        <v>45306</v>
      </c>
      <c r="B290" t="s">
        <v>8</v>
      </c>
      <c r="C290" t="s">
        <v>18</v>
      </c>
      <c r="D290">
        <v>978</v>
      </c>
      <c r="E290">
        <v>52</v>
      </c>
      <c r="F290" t="s">
        <v>29</v>
      </c>
      <c r="G290">
        <f>(E290/D290)*100</f>
        <v>5.3169734151329244</v>
      </c>
    </row>
    <row r="291" spans="1:7" x14ac:dyDescent="0.35">
      <c r="A291" s="2">
        <v>45422</v>
      </c>
      <c r="B291" t="s">
        <v>6</v>
      </c>
      <c r="C291" t="s">
        <v>23</v>
      </c>
      <c r="D291">
        <v>202</v>
      </c>
      <c r="E291">
        <v>11</v>
      </c>
      <c r="F291" t="s">
        <v>29</v>
      </c>
      <c r="G291">
        <f>(E291/D291)*100</f>
        <v>5.4455445544554459</v>
      </c>
    </row>
    <row r="292" spans="1:7" x14ac:dyDescent="0.35">
      <c r="A292" s="2">
        <v>45547</v>
      </c>
      <c r="B292" t="s">
        <v>7</v>
      </c>
      <c r="C292" t="s">
        <v>15</v>
      </c>
      <c r="D292">
        <v>508</v>
      </c>
      <c r="E292">
        <v>28</v>
      </c>
      <c r="F292" t="s">
        <v>29</v>
      </c>
      <c r="G292">
        <f>(E292/D292)*100</f>
        <v>5.5118110236220472</v>
      </c>
    </row>
    <row r="293" spans="1:7" x14ac:dyDescent="0.35">
      <c r="A293" s="2">
        <v>45764</v>
      </c>
      <c r="B293" t="s">
        <v>7</v>
      </c>
      <c r="C293" t="s">
        <v>9</v>
      </c>
      <c r="D293">
        <v>756</v>
      </c>
      <c r="E293">
        <v>49</v>
      </c>
      <c r="F293" t="s">
        <v>29</v>
      </c>
      <c r="G293">
        <f>(E293/D293)*100</f>
        <v>6.481481481481481</v>
      </c>
    </row>
    <row r="294" spans="1:7" x14ac:dyDescent="0.35">
      <c r="A294" s="2">
        <v>45639</v>
      </c>
      <c r="B294" t="s">
        <v>6</v>
      </c>
      <c r="C294" t="s">
        <v>11</v>
      </c>
      <c r="D294">
        <v>200</v>
      </c>
      <c r="E294">
        <v>14</v>
      </c>
      <c r="F294" t="s">
        <v>29</v>
      </c>
      <c r="G294">
        <f>(E294/D294)*100</f>
        <v>7.0000000000000009</v>
      </c>
    </row>
    <row r="295" spans="1:7" x14ac:dyDescent="0.35">
      <c r="A295" s="2">
        <v>45637</v>
      </c>
      <c r="B295" t="s">
        <v>8</v>
      </c>
      <c r="C295" t="s">
        <v>23</v>
      </c>
      <c r="D295">
        <v>869</v>
      </c>
      <c r="E295">
        <v>68</v>
      </c>
      <c r="F295" t="s">
        <v>29</v>
      </c>
      <c r="G295">
        <f>(E295/D295)*100</f>
        <v>7.8250863060989646</v>
      </c>
    </row>
    <row r="296" spans="1:7" x14ac:dyDescent="0.35">
      <c r="A296" s="2">
        <v>45911</v>
      </c>
      <c r="B296" t="s">
        <v>7</v>
      </c>
      <c r="C296" t="s">
        <v>26</v>
      </c>
      <c r="D296">
        <v>555</v>
      </c>
      <c r="E296">
        <v>48</v>
      </c>
      <c r="F296" t="s">
        <v>29</v>
      </c>
      <c r="G296">
        <f>(E296/D296)*100</f>
        <v>8.6486486486486491</v>
      </c>
    </row>
    <row r="297" spans="1:7" x14ac:dyDescent="0.35">
      <c r="A297" s="2">
        <v>45521</v>
      </c>
      <c r="B297" t="s">
        <v>6</v>
      </c>
      <c r="C297" t="s">
        <v>16</v>
      </c>
      <c r="D297">
        <v>947</v>
      </c>
      <c r="E297">
        <v>13</v>
      </c>
      <c r="F297" t="s">
        <v>53</v>
      </c>
      <c r="G297">
        <f>(E297/D297)*100</f>
        <v>1.3727560718057021</v>
      </c>
    </row>
    <row r="298" spans="1:7" x14ac:dyDescent="0.35">
      <c r="A298" s="2">
        <v>45863</v>
      </c>
      <c r="B298" t="s">
        <v>7</v>
      </c>
      <c r="C298" t="s">
        <v>9</v>
      </c>
      <c r="D298">
        <v>784</v>
      </c>
      <c r="E298">
        <v>12</v>
      </c>
      <c r="F298" t="s">
        <v>53</v>
      </c>
      <c r="G298">
        <f>(E298/D298)*100</f>
        <v>1.5306122448979591</v>
      </c>
    </row>
    <row r="299" spans="1:7" x14ac:dyDescent="0.35">
      <c r="A299" s="2">
        <v>45435</v>
      </c>
      <c r="B299" t="s">
        <v>6</v>
      </c>
      <c r="C299" t="s">
        <v>19</v>
      </c>
      <c r="D299">
        <v>888</v>
      </c>
      <c r="E299">
        <v>14</v>
      </c>
      <c r="F299" t="s">
        <v>53</v>
      </c>
      <c r="G299">
        <f>(E299/D299)*100</f>
        <v>1.5765765765765765</v>
      </c>
    </row>
    <row r="300" spans="1:7" x14ac:dyDescent="0.35">
      <c r="A300" s="2">
        <v>45524</v>
      </c>
      <c r="B300" t="s">
        <v>6</v>
      </c>
      <c r="C300" t="s">
        <v>14</v>
      </c>
      <c r="D300">
        <v>716</v>
      </c>
      <c r="E300">
        <v>12</v>
      </c>
      <c r="F300" t="s">
        <v>53</v>
      </c>
      <c r="G300">
        <f>(E300/D300)*100</f>
        <v>1.6759776536312849</v>
      </c>
    </row>
    <row r="301" spans="1:7" x14ac:dyDescent="0.35">
      <c r="A301" s="2">
        <v>45788</v>
      </c>
      <c r="B301" t="s">
        <v>6</v>
      </c>
      <c r="C301" t="s">
        <v>26</v>
      </c>
      <c r="D301">
        <v>381</v>
      </c>
      <c r="E301">
        <v>8</v>
      </c>
      <c r="F301" t="s">
        <v>53</v>
      </c>
      <c r="G301">
        <f>(E301/D301)*100</f>
        <v>2.0997375328083989</v>
      </c>
    </row>
    <row r="302" spans="1:7" x14ac:dyDescent="0.35">
      <c r="A302" s="2">
        <v>45677</v>
      </c>
      <c r="B302" t="s">
        <v>6</v>
      </c>
      <c r="C302" t="s">
        <v>11</v>
      </c>
      <c r="D302">
        <v>585</v>
      </c>
      <c r="E302">
        <v>14</v>
      </c>
      <c r="F302" t="s">
        <v>53</v>
      </c>
      <c r="G302">
        <f>(E302/D302)*100</f>
        <v>2.3931623931623935</v>
      </c>
    </row>
    <row r="303" spans="1:7" x14ac:dyDescent="0.35">
      <c r="A303" s="2">
        <v>45332</v>
      </c>
      <c r="B303" t="s">
        <v>7</v>
      </c>
      <c r="C303" t="s">
        <v>12</v>
      </c>
      <c r="D303">
        <v>438</v>
      </c>
      <c r="E303">
        <v>15</v>
      </c>
      <c r="F303" t="s">
        <v>53</v>
      </c>
      <c r="G303">
        <f>(E303/D303)*100</f>
        <v>3.4246575342465753</v>
      </c>
    </row>
    <row r="304" spans="1:7" x14ac:dyDescent="0.35">
      <c r="A304" s="2">
        <v>45892</v>
      </c>
      <c r="B304" t="s">
        <v>6</v>
      </c>
      <c r="C304" t="s">
        <v>25</v>
      </c>
      <c r="D304">
        <v>847</v>
      </c>
      <c r="E304">
        <v>30</v>
      </c>
      <c r="F304" t="s">
        <v>53</v>
      </c>
      <c r="G304">
        <f>(E304/D304)*100</f>
        <v>3.5419126328217239</v>
      </c>
    </row>
    <row r="305" spans="1:7" x14ac:dyDescent="0.35">
      <c r="A305" s="2">
        <v>45532</v>
      </c>
      <c r="B305" t="s">
        <v>8</v>
      </c>
      <c r="C305" t="s">
        <v>20</v>
      </c>
      <c r="D305">
        <v>999</v>
      </c>
      <c r="E305">
        <v>37</v>
      </c>
      <c r="F305" t="s">
        <v>53</v>
      </c>
      <c r="G305">
        <f>(E305/D305)*100</f>
        <v>3.7037037037037033</v>
      </c>
    </row>
    <row r="306" spans="1:7" x14ac:dyDescent="0.35">
      <c r="A306" s="2">
        <v>45768</v>
      </c>
      <c r="B306" t="s">
        <v>7</v>
      </c>
      <c r="C306" t="s">
        <v>9</v>
      </c>
      <c r="D306">
        <v>283</v>
      </c>
      <c r="E306">
        <v>11</v>
      </c>
      <c r="F306" t="s">
        <v>53</v>
      </c>
      <c r="G306">
        <f>(E306/D306)*100</f>
        <v>3.8869257950530036</v>
      </c>
    </row>
    <row r="307" spans="1:7" x14ac:dyDescent="0.35">
      <c r="A307" s="2">
        <v>45855</v>
      </c>
      <c r="B307" t="s">
        <v>7</v>
      </c>
      <c r="C307" t="s">
        <v>16</v>
      </c>
      <c r="D307">
        <v>222</v>
      </c>
      <c r="E307">
        <v>9</v>
      </c>
      <c r="F307" t="s">
        <v>53</v>
      </c>
      <c r="G307">
        <f>(E307/D307)*100</f>
        <v>4.0540540540540544</v>
      </c>
    </row>
    <row r="308" spans="1:7" x14ac:dyDescent="0.35">
      <c r="A308" s="2">
        <v>45838</v>
      </c>
      <c r="B308" t="s">
        <v>7</v>
      </c>
      <c r="C308" t="s">
        <v>13</v>
      </c>
      <c r="D308">
        <v>925</v>
      </c>
      <c r="E308">
        <v>40</v>
      </c>
      <c r="F308" t="s">
        <v>53</v>
      </c>
      <c r="G308">
        <f>(E308/D308)*100</f>
        <v>4.3243243243243246</v>
      </c>
    </row>
    <row r="309" spans="1:7" x14ac:dyDescent="0.35">
      <c r="A309" s="2">
        <v>45851</v>
      </c>
      <c r="B309" t="s">
        <v>8</v>
      </c>
      <c r="C309" t="s">
        <v>19</v>
      </c>
      <c r="D309">
        <v>577</v>
      </c>
      <c r="E309">
        <v>25</v>
      </c>
      <c r="F309" t="s">
        <v>53</v>
      </c>
      <c r="G309">
        <f>(E309/D309)*100</f>
        <v>4.3327556325823222</v>
      </c>
    </row>
    <row r="310" spans="1:7" x14ac:dyDescent="0.35">
      <c r="A310" s="2">
        <v>45747</v>
      </c>
      <c r="B310" t="s">
        <v>7</v>
      </c>
      <c r="C310" t="s">
        <v>12</v>
      </c>
      <c r="D310">
        <v>414</v>
      </c>
      <c r="E310">
        <v>19</v>
      </c>
      <c r="F310" t="s">
        <v>53</v>
      </c>
      <c r="G310">
        <f>(E310/D310)*100</f>
        <v>4.5893719806763285</v>
      </c>
    </row>
    <row r="311" spans="1:7" x14ac:dyDescent="0.35">
      <c r="A311" s="2">
        <v>45549</v>
      </c>
      <c r="B311" t="s">
        <v>7</v>
      </c>
      <c r="C311" t="s">
        <v>23</v>
      </c>
      <c r="D311">
        <v>415</v>
      </c>
      <c r="E311">
        <v>22</v>
      </c>
      <c r="F311" t="s">
        <v>53</v>
      </c>
      <c r="G311">
        <f>(E311/D311)*100</f>
        <v>5.3012048192771086</v>
      </c>
    </row>
    <row r="312" spans="1:7" x14ac:dyDescent="0.35">
      <c r="A312" s="2">
        <v>45326</v>
      </c>
      <c r="B312" t="s">
        <v>6</v>
      </c>
      <c r="C312" t="s">
        <v>25</v>
      </c>
      <c r="D312">
        <v>717</v>
      </c>
      <c r="E312">
        <v>42</v>
      </c>
      <c r="F312" t="s">
        <v>53</v>
      </c>
      <c r="G312">
        <f>(E312/D312)*100</f>
        <v>5.8577405857740583</v>
      </c>
    </row>
    <row r="313" spans="1:7" x14ac:dyDescent="0.35">
      <c r="A313" s="2">
        <v>45764</v>
      </c>
      <c r="B313" t="s">
        <v>7</v>
      </c>
      <c r="C313" t="s">
        <v>28</v>
      </c>
      <c r="D313">
        <v>980</v>
      </c>
      <c r="E313">
        <v>58</v>
      </c>
      <c r="F313" t="s">
        <v>53</v>
      </c>
      <c r="G313">
        <f>(E313/D313)*100</f>
        <v>5.9183673469387754</v>
      </c>
    </row>
    <row r="314" spans="1:7" x14ac:dyDescent="0.35">
      <c r="A314" s="2">
        <v>45377</v>
      </c>
      <c r="B314" t="s">
        <v>8</v>
      </c>
      <c r="C314" t="s">
        <v>28</v>
      </c>
      <c r="D314">
        <v>610</v>
      </c>
      <c r="E314">
        <v>37</v>
      </c>
      <c r="F314" t="s">
        <v>53</v>
      </c>
      <c r="G314">
        <f>(E314/D314)*100</f>
        <v>6.0655737704918034</v>
      </c>
    </row>
    <row r="315" spans="1:7" x14ac:dyDescent="0.35">
      <c r="A315" s="2">
        <v>45807</v>
      </c>
      <c r="B315" t="s">
        <v>8</v>
      </c>
      <c r="C315" t="s">
        <v>20</v>
      </c>
      <c r="D315">
        <v>342</v>
      </c>
      <c r="E315">
        <v>32</v>
      </c>
      <c r="F315" t="s">
        <v>53</v>
      </c>
      <c r="G315">
        <f>(E315/D315)*100</f>
        <v>9.3567251461988299</v>
      </c>
    </row>
    <row r="316" spans="1:7" x14ac:dyDescent="0.35">
      <c r="A316" s="2">
        <v>45492</v>
      </c>
      <c r="B316" t="s">
        <v>6</v>
      </c>
      <c r="C316" t="s">
        <v>22</v>
      </c>
      <c r="D316">
        <v>958</v>
      </c>
      <c r="E316">
        <v>9</v>
      </c>
      <c r="F316" t="s">
        <v>34</v>
      </c>
      <c r="G316">
        <f>(E316/D316)*100</f>
        <v>0.93945720250521914</v>
      </c>
    </row>
    <row r="317" spans="1:7" x14ac:dyDescent="0.35">
      <c r="A317" s="2">
        <v>45937</v>
      </c>
      <c r="B317" t="s">
        <v>6</v>
      </c>
      <c r="C317" t="s">
        <v>9</v>
      </c>
      <c r="D317">
        <v>340</v>
      </c>
      <c r="E317">
        <v>5</v>
      </c>
      <c r="F317" t="s">
        <v>34</v>
      </c>
      <c r="G317">
        <f>(E317/D317)*100</f>
        <v>1.4705882352941175</v>
      </c>
    </row>
    <row r="318" spans="1:7" x14ac:dyDescent="0.35">
      <c r="A318" s="2">
        <v>45929</v>
      </c>
      <c r="B318" t="s">
        <v>7</v>
      </c>
      <c r="C318" t="s">
        <v>17</v>
      </c>
      <c r="D318">
        <v>367</v>
      </c>
      <c r="E318">
        <v>10</v>
      </c>
      <c r="F318" t="s">
        <v>34</v>
      </c>
      <c r="G318">
        <f>(E318/D318)*100</f>
        <v>2.7247956403269753</v>
      </c>
    </row>
    <row r="319" spans="1:7" x14ac:dyDescent="0.35">
      <c r="A319" s="2">
        <v>45312</v>
      </c>
      <c r="B319" t="s">
        <v>6</v>
      </c>
      <c r="C319" t="s">
        <v>15</v>
      </c>
      <c r="D319">
        <v>801</v>
      </c>
      <c r="E319">
        <v>23</v>
      </c>
      <c r="F319" t="s">
        <v>34</v>
      </c>
      <c r="G319">
        <f>(E319/D319)*100</f>
        <v>2.8714107365792758</v>
      </c>
    </row>
    <row r="320" spans="1:7" x14ac:dyDescent="0.35">
      <c r="A320" s="2">
        <v>45719</v>
      </c>
      <c r="B320" t="s">
        <v>7</v>
      </c>
      <c r="C320" t="s">
        <v>23</v>
      </c>
      <c r="D320">
        <v>994</v>
      </c>
      <c r="E320">
        <v>36</v>
      </c>
      <c r="F320" t="s">
        <v>34</v>
      </c>
      <c r="G320">
        <f>(E320/D320)*100</f>
        <v>3.6217303822937628</v>
      </c>
    </row>
    <row r="321" spans="1:7" x14ac:dyDescent="0.35">
      <c r="A321" s="2">
        <v>45899</v>
      </c>
      <c r="B321" t="s">
        <v>6</v>
      </c>
      <c r="C321" t="s">
        <v>18</v>
      </c>
      <c r="D321">
        <v>379</v>
      </c>
      <c r="E321">
        <v>14</v>
      </c>
      <c r="F321" t="s">
        <v>34</v>
      </c>
      <c r="G321">
        <f>(E321/D321)*100</f>
        <v>3.6939313984168867</v>
      </c>
    </row>
    <row r="322" spans="1:7" x14ac:dyDescent="0.35">
      <c r="A322" s="2">
        <v>45955</v>
      </c>
      <c r="B322" t="s">
        <v>8</v>
      </c>
      <c r="C322" t="s">
        <v>9</v>
      </c>
      <c r="D322">
        <v>928</v>
      </c>
      <c r="E322">
        <v>37</v>
      </c>
      <c r="F322" t="s">
        <v>34</v>
      </c>
      <c r="G322">
        <f>(E322/D322)*100</f>
        <v>3.9870689655172415</v>
      </c>
    </row>
    <row r="323" spans="1:7" x14ac:dyDescent="0.35">
      <c r="A323" s="2">
        <v>45307</v>
      </c>
      <c r="B323" t="s">
        <v>7</v>
      </c>
      <c r="C323" t="s">
        <v>26</v>
      </c>
      <c r="D323">
        <v>689</v>
      </c>
      <c r="E323">
        <v>29</v>
      </c>
      <c r="F323" t="s">
        <v>34</v>
      </c>
      <c r="G323">
        <f>(E323/D323)*100</f>
        <v>4.2089985486211905</v>
      </c>
    </row>
    <row r="324" spans="1:7" x14ac:dyDescent="0.35">
      <c r="A324" s="2">
        <v>45560</v>
      </c>
      <c r="B324" t="s">
        <v>8</v>
      </c>
      <c r="C324" t="s">
        <v>28</v>
      </c>
      <c r="D324">
        <v>976</v>
      </c>
      <c r="E324">
        <v>43</v>
      </c>
      <c r="F324" t="s">
        <v>34</v>
      </c>
      <c r="G324">
        <f>(E324/D324)*100</f>
        <v>4.4057377049180326</v>
      </c>
    </row>
    <row r="325" spans="1:7" x14ac:dyDescent="0.35">
      <c r="A325" s="2">
        <v>45788</v>
      </c>
      <c r="B325" t="s">
        <v>6</v>
      </c>
      <c r="C325" t="s">
        <v>16</v>
      </c>
      <c r="D325">
        <v>558</v>
      </c>
      <c r="E325">
        <v>25</v>
      </c>
      <c r="F325" t="s">
        <v>34</v>
      </c>
      <c r="G325">
        <f>(E325/D325)*100</f>
        <v>4.4802867383512543</v>
      </c>
    </row>
    <row r="326" spans="1:7" x14ac:dyDescent="0.35">
      <c r="A326" s="2">
        <v>45487</v>
      </c>
      <c r="B326" t="s">
        <v>8</v>
      </c>
      <c r="C326" t="s">
        <v>22</v>
      </c>
      <c r="D326">
        <v>910</v>
      </c>
      <c r="E326">
        <v>41</v>
      </c>
      <c r="F326" t="s">
        <v>34</v>
      </c>
      <c r="G326">
        <f>(E326/D326)*100</f>
        <v>4.5054945054945055</v>
      </c>
    </row>
    <row r="327" spans="1:7" x14ac:dyDescent="0.35">
      <c r="A327" s="2">
        <v>45483</v>
      </c>
      <c r="B327" t="s">
        <v>7</v>
      </c>
      <c r="C327" t="s">
        <v>23</v>
      </c>
      <c r="D327">
        <v>597</v>
      </c>
      <c r="E327">
        <v>27</v>
      </c>
      <c r="F327" t="s">
        <v>34</v>
      </c>
      <c r="G327">
        <f>(E327/D327)*100</f>
        <v>4.5226130653266337</v>
      </c>
    </row>
    <row r="328" spans="1:7" x14ac:dyDescent="0.35">
      <c r="A328" s="2">
        <v>45391</v>
      </c>
      <c r="B328" t="s">
        <v>8</v>
      </c>
      <c r="C328" t="s">
        <v>19</v>
      </c>
      <c r="D328">
        <v>472</v>
      </c>
      <c r="E328">
        <v>22</v>
      </c>
      <c r="F328" t="s">
        <v>34</v>
      </c>
      <c r="G328">
        <f>(E328/D328)*100</f>
        <v>4.6610169491525424</v>
      </c>
    </row>
    <row r="329" spans="1:7" x14ac:dyDescent="0.35">
      <c r="A329" s="2">
        <v>45930</v>
      </c>
      <c r="B329" t="s">
        <v>6</v>
      </c>
      <c r="C329" t="s">
        <v>26</v>
      </c>
      <c r="D329">
        <v>777</v>
      </c>
      <c r="E329">
        <v>47</v>
      </c>
      <c r="F329" t="s">
        <v>34</v>
      </c>
      <c r="G329">
        <f>(E329/D329)*100</f>
        <v>6.0489060489060487</v>
      </c>
    </row>
    <row r="330" spans="1:7" x14ac:dyDescent="0.35">
      <c r="A330" s="2">
        <v>45723</v>
      </c>
      <c r="B330" t="s">
        <v>8</v>
      </c>
      <c r="C330" t="s">
        <v>17</v>
      </c>
      <c r="D330">
        <v>861</v>
      </c>
      <c r="E330">
        <v>54</v>
      </c>
      <c r="F330" t="s">
        <v>34</v>
      </c>
      <c r="G330">
        <f>(E330/D330)*100</f>
        <v>6.2717770034843205</v>
      </c>
    </row>
    <row r="331" spans="1:7" x14ac:dyDescent="0.35">
      <c r="A331" s="2">
        <v>45545</v>
      </c>
      <c r="B331" t="s">
        <v>6</v>
      </c>
      <c r="C331" t="s">
        <v>22</v>
      </c>
      <c r="D331">
        <v>501</v>
      </c>
      <c r="E331">
        <v>32</v>
      </c>
      <c r="F331" t="s">
        <v>34</v>
      </c>
      <c r="G331">
        <f>(E331/D331)*100</f>
        <v>6.3872255489021947</v>
      </c>
    </row>
    <row r="332" spans="1:7" x14ac:dyDescent="0.35">
      <c r="A332" s="2">
        <v>45955</v>
      </c>
      <c r="B332" t="s">
        <v>7</v>
      </c>
      <c r="C332" t="s">
        <v>21</v>
      </c>
      <c r="D332">
        <v>967</v>
      </c>
      <c r="E332">
        <v>76</v>
      </c>
      <c r="F332" t="s">
        <v>34</v>
      </c>
      <c r="G332">
        <f>(E332/D332)*100</f>
        <v>7.8593588417786968</v>
      </c>
    </row>
    <row r="333" spans="1:7" x14ac:dyDescent="0.35">
      <c r="A333" s="2">
        <v>46018</v>
      </c>
      <c r="B333" t="s">
        <v>6</v>
      </c>
      <c r="C333" t="s">
        <v>22</v>
      </c>
      <c r="D333">
        <v>450</v>
      </c>
      <c r="E333">
        <v>5</v>
      </c>
      <c r="F333" t="s">
        <v>39</v>
      </c>
      <c r="G333">
        <f>(E333/D333)*100</f>
        <v>1.1111111111111112</v>
      </c>
    </row>
    <row r="334" spans="1:7" x14ac:dyDescent="0.35">
      <c r="A334" s="2">
        <v>45762</v>
      </c>
      <c r="B334" t="s">
        <v>7</v>
      </c>
      <c r="C334" t="s">
        <v>11</v>
      </c>
      <c r="D334">
        <v>219</v>
      </c>
      <c r="E334">
        <v>3</v>
      </c>
      <c r="F334" t="s">
        <v>39</v>
      </c>
      <c r="G334">
        <f>(E334/D334)*100</f>
        <v>1.3698630136986301</v>
      </c>
    </row>
    <row r="335" spans="1:7" x14ac:dyDescent="0.35">
      <c r="A335" s="2">
        <v>45511</v>
      </c>
      <c r="B335" t="s">
        <v>6</v>
      </c>
      <c r="C335" t="s">
        <v>23</v>
      </c>
      <c r="D335">
        <v>890</v>
      </c>
      <c r="E335">
        <v>13</v>
      </c>
      <c r="F335" t="s">
        <v>39</v>
      </c>
      <c r="G335">
        <f>(E335/D335)*100</f>
        <v>1.4606741573033708</v>
      </c>
    </row>
    <row r="336" spans="1:7" x14ac:dyDescent="0.35">
      <c r="A336" s="2">
        <v>45332</v>
      </c>
      <c r="B336" t="s">
        <v>8</v>
      </c>
      <c r="C336" t="s">
        <v>10</v>
      </c>
      <c r="D336">
        <v>476</v>
      </c>
      <c r="E336">
        <v>8</v>
      </c>
      <c r="F336" t="s">
        <v>39</v>
      </c>
      <c r="G336">
        <f>(E336/D336)*100</f>
        <v>1.680672268907563</v>
      </c>
    </row>
    <row r="337" spans="1:7" x14ac:dyDescent="0.35">
      <c r="A337" s="2">
        <v>45768</v>
      </c>
      <c r="B337" t="s">
        <v>7</v>
      </c>
      <c r="C337" t="s">
        <v>25</v>
      </c>
      <c r="D337">
        <v>285</v>
      </c>
      <c r="E337">
        <v>6</v>
      </c>
      <c r="F337" t="s">
        <v>39</v>
      </c>
      <c r="G337">
        <f>(E337/D337)*100</f>
        <v>2.1052631578947367</v>
      </c>
    </row>
    <row r="338" spans="1:7" x14ac:dyDescent="0.35">
      <c r="A338" s="2">
        <v>45445</v>
      </c>
      <c r="B338" t="s">
        <v>8</v>
      </c>
      <c r="C338" t="s">
        <v>11</v>
      </c>
      <c r="D338">
        <v>519</v>
      </c>
      <c r="E338">
        <v>11</v>
      </c>
      <c r="F338" t="s">
        <v>39</v>
      </c>
      <c r="G338">
        <f>(E338/D338)*100</f>
        <v>2.1194605009633909</v>
      </c>
    </row>
    <row r="339" spans="1:7" x14ac:dyDescent="0.35">
      <c r="A339" s="2">
        <v>45699</v>
      </c>
      <c r="B339" t="s">
        <v>7</v>
      </c>
      <c r="C339" t="s">
        <v>13</v>
      </c>
      <c r="D339">
        <v>500</v>
      </c>
      <c r="E339">
        <v>11</v>
      </c>
      <c r="F339" t="s">
        <v>39</v>
      </c>
      <c r="G339">
        <f>(E339/D339)*100</f>
        <v>2.1999999999999997</v>
      </c>
    </row>
    <row r="340" spans="1:7" x14ac:dyDescent="0.35">
      <c r="A340" s="2">
        <v>45950</v>
      </c>
      <c r="B340" t="s">
        <v>7</v>
      </c>
      <c r="C340" t="s">
        <v>9</v>
      </c>
      <c r="D340">
        <v>948</v>
      </c>
      <c r="E340">
        <v>25</v>
      </c>
      <c r="F340" t="s">
        <v>39</v>
      </c>
      <c r="G340">
        <f>(E340/D340)*100</f>
        <v>2.6371308016877637</v>
      </c>
    </row>
    <row r="341" spans="1:7" x14ac:dyDescent="0.35">
      <c r="A341" s="2">
        <v>45753</v>
      </c>
      <c r="B341" t="s">
        <v>6</v>
      </c>
      <c r="C341" t="s">
        <v>23</v>
      </c>
      <c r="D341">
        <v>600</v>
      </c>
      <c r="E341">
        <v>22</v>
      </c>
      <c r="F341" t="s">
        <v>39</v>
      </c>
      <c r="G341">
        <f>(E341/D341)*100</f>
        <v>3.6666666666666665</v>
      </c>
    </row>
    <row r="342" spans="1:7" x14ac:dyDescent="0.35">
      <c r="A342" s="2">
        <v>45940</v>
      </c>
      <c r="B342" t="s">
        <v>8</v>
      </c>
      <c r="C342" t="s">
        <v>13</v>
      </c>
      <c r="D342">
        <v>628</v>
      </c>
      <c r="E342">
        <v>27</v>
      </c>
      <c r="F342" t="s">
        <v>39</v>
      </c>
      <c r="G342">
        <f>(E342/D342)*100</f>
        <v>4.2993630573248405</v>
      </c>
    </row>
    <row r="343" spans="1:7" x14ac:dyDescent="0.35">
      <c r="A343" s="2">
        <v>45744</v>
      </c>
      <c r="B343" t="s">
        <v>8</v>
      </c>
      <c r="C343" t="s">
        <v>26</v>
      </c>
      <c r="D343">
        <v>770</v>
      </c>
      <c r="E343">
        <v>35</v>
      </c>
      <c r="F343" t="s">
        <v>39</v>
      </c>
      <c r="G343">
        <f>(E343/D343)*100</f>
        <v>4.5454545454545459</v>
      </c>
    </row>
    <row r="344" spans="1:7" x14ac:dyDescent="0.35">
      <c r="A344" s="2">
        <v>45664</v>
      </c>
      <c r="B344" t="s">
        <v>6</v>
      </c>
      <c r="C344" t="s">
        <v>13</v>
      </c>
      <c r="D344">
        <v>478</v>
      </c>
      <c r="E344">
        <v>22</v>
      </c>
      <c r="F344" t="s">
        <v>39</v>
      </c>
      <c r="G344">
        <f>(E344/D344)*100</f>
        <v>4.6025104602510458</v>
      </c>
    </row>
    <row r="345" spans="1:7" x14ac:dyDescent="0.35">
      <c r="A345" s="2">
        <v>45595</v>
      </c>
      <c r="B345" t="s">
        <v>6</v>
      </c>
      <c r="C345" t="s">
        <v>25</v>
      </c>
      <c r="D345">
        <v>579</v>
      </c>
      <c r="E345">
        <v>27</v>
      </c>
      <c r="F345" t="s">
        <v>39</v>
      </c>
      <c r="G345">
        <f>(E345/D345)*100</f>
        <v>4.6632124352331603</v>
      </c>
    </row>
    <row r="346" spans="1:7" x14ac:dyDescent="0.35">
      <c r="A346" s="2">
        <v>45746</v>
      </c>
      <c r="B346" t="s">
        <v>6</v>
      </c>
      <c r="C346" t="s">
        <v>15</v>
      </c>
      <c r="D346">
        <v>978</v>
      </c>
      <c r="E346">
        <v>46</v>
      </c>
      <c r="F346" t="s">
        <v>39</v>
      </c>
      <c r="G346">
        <f>(E346/D346)*100</f>
        <v>4.703476482617587</v>
      </c>
    </row>
    <row r="347" spans="1:7" x14ac:dyDescent="0.35">
      <c r="A347" s="2">
        <v>45946</v>
      </c>
      <c r="B347" t="s">
        <v>8</v>
      </c>
      <c r="C347" t="s">
        <v>25</v>
      </c>
      <c r="D347">
        <v>868</v>
      </c>
      <c r="E347">
        <v>44</v>
      </c>
      <c r="F347" t="s">
        <v>39</v>
      </c>
      <c r="G347">
        <f>(E347/D347)*100</f>
        <v>5.0691244239631335</v>
      </c>
    </row>
    <row r="348" spans="1:7" x14ac:dyDescent="0.35">
      <c r="A348" s="2">
        <v>45390</v>
      </c>
      <c r="B348" t="s">
        <v>7</v>
      </c>
      <c r="C348" t="s">
        <v>10</v>
      </c>
      <c r="D348">
        <v>365</v>
      </c>
      <c r="E348">
        <v>20</v>
      </c>
      <c r="F348" t="s">
        <v>39</v>
      </c>
      <c r="G348">
        <f>(E348/D348)*100</f>
        <v>5.4794520547945202</v>
      </c>
    </row>
    <row r="349" spans="1:7" x14ac:dyDescent="0.35">
      <c r="A349" s="2">
        <v>45947</v>
      </c>
      <c r="B349" t="s">
        <v>6</v>
      </c>
      <c r="C349" t="s">
        <v>20</v>
      </c>
      <c r="D349">
        <v>466</v>
      </c>
      <c r="E349">
        <v>26</v>
      </c>
      <c r="F349" t="s">
        <v>39</v>
      </c>
      <c r="G349">
        <f>(E349/D349)*100</f>
        <v>5.5793991416309012</v>
      </c>
    </row>
    <row r="350" spans="1:7" x14ac:dyDescent="0.35">
      <c r="A350" s="2">
        <v>45571</v>
      </c>
      <c r="B350" t="s">
        <v>7</v>
      </c>
      <c r="C350" t="s">
        <v>24</v>
      </c>
      <c r="D350">
        <v>504</v>
      </c>
      <c r="E350">
        <v>29</v>
      </c>
      <c r="F350" t="s">
        <v>39</v>
      </c>
      <c r="G350">
        <f>(E350/D350)*100</f>
        <v>5.753968253968254</v>
      </c>
    </row>
    <row r="351" spans="1:7" x14ac:dyDescent="0.35">
      <c r="A351" s="2">
        <v>45327</v>
      </c>
      <c r="B351" t="s">
        <v>8</v>
      </c>
      <c r="C351" t="s">
        <v>14</v>
      </c>
      <c r="D351">
        <v>797</v>
      </c>
      <c r="E351">
        <v>47</v>
      </c>
      <c r="F351" t="s">
        <v>39</v>
      </c>
      <c r="G351">
        <f>(E351/D351)*100</f>
        <v>5.8971141781681311</v>
      </c>
    </row>
    <row r="352" spans="1:7" x14ac:dyDescent="0.35">
      <c r="A352" s="2">
        <v>45950</v>
      </c>
      <c r="B352" t="s">
        <v>8</v>
      </c>
      <c r="C352" t="s">
        <v>18</v>
      </c>
      <c r="D352">
        <v>697</v>
      </c>
      <c r="E352">
        <v>42</v>
      </c>
      <c r="F352" t="s">
        <v>39</v>
      </c>
      <c r="G352">
        <f>(E352/D352)*100</f>
        <v>6.0258249641319939</v>
      </c>
    </row>
    <row r="353" spans="1:7" x14ac:dyDescent="0.35">
      <c r="A353" s="2">
        <v>45869</v>
      </c>
      <c r="B353" t="s">
        <v>8</v>
      </c>
      <c r="C353" t="s">
        <v>14</v>
      </c>
      <c r="D353">
        <v>491</v>
      </c>
      <c r="E353">
        <v>31</v>
      </c>
      <c r="F353" t="s">
        <v>39</v>
      </c>
      <c r="G353">
        <f>(E353/D353)*100</f>
        <v>6.313645621181263</v>
      </c>
    </row>
    <row r="354" spans="1:7" x14ac:dyDescent="0.35">
      <c r="A354" s="2">
        <v>45472</v>
      </c>
      <c r="B354" t="s">
        <v>6</v>
      </c>
      <c r="C354" t="s">
        <v>18</v>
      </c>
      <c r="D354">
        <v>517</v>
      </c>
      <c r="E354">
        <v>35</v>
      </c>
      <c r="F354" t="s">
        <v>39</v>
      </c>
      <c r="G354">
        <f>(E354/D354)*100</f>
        <v>6.7698259187620886</v>
      </c>
    </row>
    <row r="355" spans="1:7" x14ac:dyDescent="0.35">
      <c r="A355" s="2">
        <v>45293</v>
      </c>
      <c r="B355" t="s">
        <v>6</v>
      </c>
      <c r="C355" t="s">
        <v>10</v>
      </c>
      <c r="D355">
        <v>477</v>
      </c>
      <c r="E355">
        <v>42</v>
      </c>
      <c r="F355" t="s">
        <v>39</v>
      </c>
      <c r="G355">
        <f>(E355/D355)*100</f>
        <v>8.8050314465408803</v>
      </c>
    </row>
    <row r="356" spans="1:7" x14ac:dyDescent="0.35">
      <c r="A356" s="2">
        <v>45629</v>
      </c>
      <c r="B356" t="s">
        <v>8</v>
      </c>
      <c r="C356" t="s">
        <v>12</v>
      </c>
      <c r="D356">
        <v>307</v>
      </c>
      <c r="E356">
        <v>5</v>
      </c>
      <c r="F356" t="s">
        <v>33</v>
      </c>
      <c r="G356">
        <f>(E356/D356)*100</f>
        <v>1.6286644951140066</v>
      </c>
    </row>
    <row r="357" spans="1:7" x14ac:dyDescent="0.35">
      <c r="A357" s="2">
        <v>45363</v>
      </c>
      <c r="B357" t="s">
        <v>6</v>
      </c>
      <c r="C357" t="s">
        <v>13</v>
      </c>
      <c r="D357">
        <v>452</v>
      </c>
      <c r="E357">
        <v>8</v>
      </c>
      <c r="F357" t="s">
        <v>33</v>
      </c>
      <c r="G357">
        <f>(E357/D357)*100</f>
        <v>1.7699115044247788</v>
      </c>
    </row>
    <row r="358" spans="1:7" x14ac:dyDescent="0.35">
      <c r="A358" s="2">
        <v>45992</v>
      </c>
      <c r="B358" t="s">
        <v>8</v>
      </c>
      <c r="C358" t="s">
        <v>14</v>
      </c>
      <c r="D358">
        <v>289</v>
      </c>
      <c r="E358">
        <v>11</v>
      </c>
      <c r="F358" t="s">
        <v>33</v>
      </c>
      <c r="G358">
        <f>(E358/D358)*100</f>
        <v>3.8062283737024223</v>
      </c>
    </row>
    <row r="359" spans="1:7" x14ac:dyDescent="0.35">
      <c r="A359" s="2">
        <v>45565</v>
      </c>
      <c r="B359" t="s">
        <v>6</v>
      </c>
      <c r="C359" t="s">
        <v>16</v>
      </c>
      <c r="D359">
        <v>557</v>
      </c>
      <c r="E359">
        <v>25</v>
      </c>
      <c r="F359" t="s">
        <v>33</v>
      </c>
      <c r="G359">
        <f>(E359/D359)*100</f>
        <v>4.4883303411131061</v>
      </c>
    </row>
    <row r="360" spans="1:7" x14ac:dyDescent="0.35">
      <c r="A360" s="2">
        <v>45579</v>
      </c>
      <c r="B360" t="s">
        <v>6</v>
      </c>
      <c r="C360" t="s">
        <v>11</v>
      </c>
      <c r="D360">
        <v>888</v>
      </c>
      <c r="E360">
        <v>42</v>
      </c>
      <c r="F360" t="s">
        <v>33</v>
      </c>
      <c r="G360">
        <f>(E360/D360)*100</f>
        <v>4.7297297297297298</v>
      </c>
    </row>
    <row r="361" spans="1:7" x14ac:dyDescent="0.35">
      <c r="A361" s="2">
        <v>45561</v>
      </c>
      <c r="B361" t="s">
        <v>7</v>
      </c>
      <c r="C361" t="s">
        <v>12</v>
      </c>
      <c r="D361">
        <v>365</v>
      </c>
      <c r="E361">
        <v>18</v>
      </c>
      <c r="F361" t="s">
        <v>33</v>
      </c>
      <c r="G361">
        <f>(E361/D361)*100</f>
        <v>4.9315068493150687</v>
      </c>
    </row>
    <row r="362" spans="1:7" x14ac:dyDescent="0.35">
      <c r="A362" s="2">
        <v>45990</v>
      </c>
      <c r="B362" t="s">
        <v>6</v>
      </c>
      <c r="C362" t="s">
        <v>11</v>
      </c>
      <c r="D362">
        <v>314</v>
      </c>
      <c r="E362">
        <v>16</v>
      </c>
      <c r="F362" t="s">
        <v>33</v>
      </c>
      <c r="G362">
        <f>(E362/D362)*100</f>
        <v>5.095541401273886</v>
      </c>
    </row>
    <row r="363" spans="1:7" x14ac:dyDescent="0.35">
      <c r="A363" s="2">
        <v>46001</v>
      </c>
      <c r="B363" t="s">
        <v>8</v>
      </c>
      <c r="C363" t="s">
        <v>28</v>
      </c>
      <c r="D363">
        <v>875</v>
      </c>
      <c r="E363">
        <v>46</v>
      </c>
      <c r="F363" t="s">
        <v>33</v>
      </c>
      <c r="G363">
        <f>(E363/D363)*100</f>
        <v>5.2571428571428571</v>
      </c>
    </row>
    <row r="364" spans="1:7" x14ac:dyDescent="0.35">
      <c r="A364" s="2">
        <v>45568</v>
      </c>
      <c r="B364" t="s">
        <v>6</v>
      </c>
      <c r="C364" t="s">
        <v>22</v>
      </c>
      <c r="D364">
        <v>414</v>
      </c>
      <c r="E364">
        <v>22</v>
      </c>
      <c r="F364" t="s">
        <v>33</v>
      </c>
      <c r="G364">
        <f>(E364/D364)*100</f>
        <v>5.3140096618357484</v>
      </c>
    </row>
    <row r="365" spans="1:7" x14ac:dyDescent="0.35">
      <c r="A365" s="2">
        <v>45903</v>
      </c>
      <c r="B365" t="s">
        <v>8</v>
      </c>
      <c r="C365" t="s">
        <v>20</v>
      </c>
      <c r="D365">
        <v>254</v>
      </c>
      <c r="E365">
        <v>14</v>
      </c>
      <c r="F365" t="s">
        <v>33</v>
      </c>
      <c r="G365">
        <f>(E365/D365)*100</f>
        <v>5.5118110236220472</v>
      </c>
    </row>
    <row r="366" spans="1:7" x14ac:dyDescent="0.35">
      <c r="A366" s="2">
        <v>45324</v>
      </c>
      <c r="B366" t="s">
        <v>6</v>
      </c>
      <c r="C366" t="s">
        <v>12</v>
      </c>
      <c r="D366">
        <v>428</v>
      </c>
      <c r="E366">
        <v>25</v>
      </c>
      <c r="F366" t="s">
        <v>33</v>
      </c>
      <c r="G366">
        <f>(E366/D366)*100</f>
        <v>5.8411214953271031</v>
      </c>
    </row>
    <row r="367" spans="1:7" x14ac:dyDescent="0.35">
      <c r="A367" s="2">
        <v>45977</v>
      </c>
      <c r="B367" t="s">
        <v>6</v>
      </c>
      <c r="C367" t="s">
        <v>24</v>
      </c>
      <c r="D367">
        <v>603</v>
      </c>
      <c r="E367">
        <v>37</v>
      </c>
      <c r="F367" t="s">
        <v>33</v>
      </c>
      <c r="G367">
        <f>(E367/D367)*100</f>
        <v>6.1359867330016584</v>
      </c>
    </row>
    <row r="368" spans="1:7" x14ac:dyDescent="0.35">
      <c r="A368" s="2">
        <v>45562</v>
      </c>
      <c r="B368" t="s">
        <v>7</v>
      </c>
      <c r="C368" t="s">
        <v>25</v>
      </c>
      <c r="D368">
        <v>741</v>
      </c>
      <c r="E368">
        <v>48</v>
      </c>
      <c r="F368" t="s">
        <v>33</v>
      </c>
      <c r="G368">
        <f>(E368/D368)*100</f>
        <v>6.4777327935222671</v>
      </c>
    </row>
    <row r="369" spans="1:7" x14ac:dyDescent="0.35">
      <c r="A369" s="2">
        <v>46018</v>
      </c>
      <c r="B369" t="s">
        <v>6</v>
      </c>
      <c r="C369" t="s">
        <v>18</v>
      </c>
      <c r="D369">
        <v>268</v>
      </c>
      <c r="E369">
        <v>20</v>
      </c>
      <c r="F369" t="s">
        <v>33</v>
      </c>
      <c r="G369">
        <f>(E369/D369)*100</f>
        <v>7.4626865671641784</v>
      </c>
    </row>
    <row r="370" spans="1:7" x14ac:dyDescent="0.35">
      <c r="A370" s="2">
        <v>45328</v>
      </c>
      <c r="B370" t="s">
        <v>7</v>
      </c>
      <c r="C370" t="s">
        <v>12</v>
      </c>
      <c r="D370">
        <v>342</v>
      </c>
      <c r="E370">
        <v>6</v>
      </c>
      <c r="F370" t="s">
        <v>45</v>
      </c>
      <c r="G370">
        <f>(E370/D370)*100</f>
        <v>1.7543859649122806</v>
      </c>
    </row>
    <row r="371" spans="1:7" x14ac:dyDescent="0.35">
      <c r="A371" s="2">
        <v>45452</v>
      </c>
      <c r="B371" t="s">
        <v>7</v>
      </c>
      <c r="C371" t="s">
        <v>24</v>
      </c>
      <c r="D371">
        <v>950</v>
      </c>
      <c r="E371">
        <v>21</v>
      </c>
      <c r="F371" t="s">
        <v>45</v>
      </c>
      <c r="G371">
        <f>(E371/D371)*100</f>
        <v>2.2105263157894735</v>
      </c>
    </row>
    <row r="372" spans="1:7" x14ac:dyDescent="0.35">
      <c r="A372" s="2">
        <v>45354</v>
      </c>
      <c r="B372" t="s">
        <v>8</v>
      </c>
      <c r="C372" t="s">
        <v>14</v>
      </c>
      <c r="D372">
        <v>938</v>
      </c>
      <c r="E372">
        <v>27</v>
      </c>
      <c r="F372" t="s">
        <v>45</v>
      </c>
      <c r="G372">
        <f>(E372/D372)*100</f>
        <v>2.8784648187633262</v>
      </c>
    </row>
    <row r="373" spans="1:7" x14ac:dyDescent="0.35">
      <c r="A373" s="2">
        <v>45744</v>
      </c>
      <c r="B373" t="s">
        <v>8</v>
      </c>
      <c r="C373" t="s">
        <v>20</v>
      </c>
      <c r="D373">
        <v>757</v>
      </c>
      <c r="E373">
        <v>22</v>
      </c>
      <c r="F373" t="s">
        <v>45</v>
      </c>
      <c r="G373">
        <f>(E373/D373)*100</f>
        <v>2.9062087186261558</v>
      </c>
    </row>
    <row r="374" spans="1:7" x14ac:dyDescent="0.35">
      <c r="A374" s="2">
        <v>45383</v>
      </c>
      <c r="B374" t="s">
        <v>8</v>
      </c>
      <c r="C374" t="s">
        <v>10</v>
      </c>
      <c r="D374">
        <v>360</v>
      </c>
      <c r="E374">
        <v>11</v>
      </c>
      <c r="F374" t="s">
        <v>45</v>
      </c>
      <c r="G374">
        <f>(E374/D374)*100</f>
        <v>3.0555555555555554</v>
      </c>
    </row>
    <row r="375" spans="1:7" x14ac:dyDescent="0.35">
      <c r="A375" s="2">
        <v>45975</v>
      </c>
      <c r="B375" t="s">
        <v>6</v>
      </c>
      <c r="C375" t="s">
        <v>22</v>
      </c>
      <c r="D375">
        <v>842</v>
      </c>
      <c r="E375">
        <v>26</v>
      </c>
      <c r="F375" t="s">
        <v>45</v>
      </c>
      <c r="G375">
        <f>(E375/D375)*100</f>
        <v>3.0878859857482186</v>
      </c>
    </row>
    <row r="376" spans="1:7" x14ac:dyDescent="0.35">
      <c r="A376" s="2">
        <v>45296</v>
      </c>
      <c r="B376" t="s">
        <v>7</v>
      </c>
      <c r="C376" t="s">
        <v>27</v>
      </c>
      <c r="D376">
        <v>543</v>
      </c>
      <c r="E376">
        <v>18</v>
      </c>
      <c r="F376" t="s">
        <v>45</v>
      </c>
      <c r="G376">
        <f>(E376/D376)*100</f>
        <v>3.3149171270718232</v>
      </c>
    </row>
    <row r="377" spans="1:7" x14ac:dyDescent="0.35">
      <c r="A377" s="2">
        <v>45852</v>
      </c>
      <c r="B377" t="s">
        <v>8</v>
      </c>
      <c r="C377" t="s">
        <v>25</v>
      </c>
      <c r="D377">
        <v>564</v>
      </c>
      <c r="E377">
        <v>24</v>
      </c>
      <c r="F377" t="s">
        <v>45</v>
      </c>
      <c r="G377">
        <f>(E377/D377)*100</f>
        <v>4.2553191489361701</v>
      </c>
    </row>
    <row r="378" spans="1:7" x14ac:dyDescent="0.35">
      <c r="A378" s="2">
        <v>45929</v>
      </c>
      <c r="B378" t="s">
        <v>8</v>
      </c>
      <c r="C378" t="s">
        <v>12</v>
      </c>
      <c r="D378">
        <v>317</v>
      </c>
      <c r="E378">
        <v>15</v>
      </c>
      <c r="F378" t="s">
        <v>45</v>
      </c>
      <c r="G378">
        <f>(E378/D378)*100</f>
        <v>4.7318611987381702</v>
      </c>
    </row>
    <row r="379" spans="1:7" x14ac:dyDescent="0.35">
      <c r="A379" s="2">
        <v>45710</v>
      </c>
      <c r="B379" t="s">
        <v>6</v>
      </c>
      <c r="C379" t="s">
        <v>21</v>
      </c>
      <c r="D379">
        <v>233</v>
      </c>
      <c r="E379">
        <v>12</v>
      </c>
      <c r="F379" t="s">
        <v>45</v>
      </c>
      <c r="G379">
        <f>(E379/D379)*100</f>
        <v>5.1502145922746783</v>
      </c>
    </row>
    <row r="380" spans="1:7" x14ac:dyDescent="0.35">
      <c r="A380" s="2">
        <v>45658</v>
      </c>
      <c r="B380" t="s">
        <v>7</v>
      </c>
      <c r="C380" t="s">
        <v>12</v>
      </c>
      <c r="D380">
        <v>264</v>
      </c>
      <c r="E380">
        <v>14</v>
      </c>
      <c r="F380" t="s">
        <v>45</v>
      </c>
      <c r="G380">
        <f>(E380/D380)*100</f>
        <v>5.3030303030303028</v>
      </c>
    </row>
    <row r="381" spans="1:7" x14ac:dyDescent="0.35">
      <c r="A381" s="2">
        <v>45788</v>
      </c>
      <c r="B381" t="s">
        <v>6</v>
      </c>
      <c r="C381" t="s">
        <v>20</v>
      </c>
      <c r="D381">
        <v>266</v>
      </c>
      <c r="E381">
        <v>15</v>
      </c>
      <c r="F381" t="s">
        <v>45</v>
      </c>
      <c r="G381">
        <f>(E381/D381)*100</f>
        <v>5.6390977443609023</v>
      </c>
    </row>
    <row r="382" spans="1:7" x14ac:dyDescent="0.35">
      <c r="A382" s="2">
        <v>45545</v>
      </c>
      <c r="B382" t="s">
        <v>6</v>
      </c>
      <c r="C382" t="s">
        <v>22</v>
      </c>
      <c r="D382">
        <v>767</v>
      </c>
      <c r="E382">
        <v>44</v>
      </c>
      <c r="F382" t="s">
        <v>45</v>
      </c>
      <c r="G382">
        <f>(E382/D382)*100</f>
        <v>5.7366362451108213</v>
      </c>
    </row>
    <row r="383" spans="1:7" x14ac:dyDescent="0.35">
      <c r="A383" s="2">
        <v>46011</v>
      </c>
      <c r="B383" t="s">
        <v>6</v>
      </c>
      <c r="C383" t="s">
        <v>26</v>
      </c>
      <c r="D383">
        <v>394</v>
      </c>
      <c r="E383">
        <v>23</v>
      </c>
      <c r="F383" t="s">
        <v>45</v>
      </c>
      <c r="G383">
        <f>(E383/D383)*100</f>
        <v>5.8375634517766501</v>
      </c>
    </row>
    <row r="384" spans="1:7" x14ac:dyDescent="0.35">
      <c r="A384" s="2">
        <v>45854</v>
      </c>
      <c r="B384" t="s">
        <v>8</v>
      </c>
      <c r="C384" t="s">
        <v>23</v>
      </c>
      <c r="D384">
        <v>973</v>
      </c>
      <c r="E384">
        <v>59</v>
      </c>
      <c r="F384" t="s">
        <v>45</v>
      </c>
      <c r="G384">
        <f>(E384/D384)*100</f>
        <v>6.0637204522096608</v>
      </c>
    </row>
    <row r="385" spans="1:7" x14ac:dyDescent="0.35">
      <c r="A385" s="2">
        <v>45665</v>
      </c>
      <c r="B385" t="s">
        <v>7</v>
      </c>
      <c r="C385" t="s">
        <v>13</v>
      </c>
      <c r="D385">
        <v>675</v>
      </c>
      <c r="E385">
        <v>56</v>
      </c>
      <c r="F385" t="s">
        <v>45</v>
      </c>
      <c r="G385">
        <f>(E385/D385)*100</f>
        <v>8.2962962962962958</v>
      </c>
    </row>
    <row r="386" spans="1:7" x14ac:dyDescent="0.35">
      <c r="A386" s="2">
        <v>45463</v>
      </c>
      <c r="B386" t="s">
        <v>7</v>
      </c>
      <c r="C386" t="s">
        <v>27</v>
      </c>
      <c r="D386">
        <v>301</v>
      </c>
      <c r="E386">
        <v>25</v>
      </c>
      <c r="F386" t="s">
        <v>45</v>
      </c>
      <c r="G386">
        <f>(E386/D386)*100</f>
        <v>8.3056478405315612</v>
      </c>
    </row>
    <row r="387" spans="1:7" x14ac:dyDescent="0.35">
      <c r="A387" s="2">
        <v>45915</v>
      </c>
      <c r="B387" t="s">
        <v>6</v>
      </c>
      <c r="C387" t="s">
        <v>26</v>
      </c>
      <c r="D387">
        <v>492</v>
      </c>
      <c r="E387">
        <v>4</v>
      </c>
      <c r="F387" t="s">
        <v>37</v>
      </c>
      <c r="G387">
        <f>(E387/D387)*100</f>
        <v>0.81300813008130091</v>
      </c>
    </row>
    <row r="388" spans="1:7" x14ac:dyDescent="0.35">
      <c r="A388" s="2">
        <v>45816</v>
      </c>
      <c r="B388" t="s">
        <v>8</v>
      </c>
      <c r="C388" t="s">
        <v>19</v>
      </c>
      <c r="D388">
        <v>209</v>
      </c>
      <c r="E388">
        <v>2</v>
      </c>
      <c r="F388" t="s">
        <v>37</v>
      </c>
      <c r="G388">
        <f>(E388/D388)*100</f>
        <v>0.9569377990430622</v>
      </c>
    </row>
    <row r="389" spans="1:7" x14ac:dyDescent="0.35">
      <c r="A389" s="2">
        <v>45486</v>
      </c>
      <c r="B389" t="s">
        <v>8</v>
      </c>
      <c r="C389" t="s">
        <v>12</v>
      </c>
      <c r="D389">
        <v>904</v>
      </c>
      <c r="E389">
        <v>9</v>
      </c>
      <c r="F389" t="s">
        <v>37</v>
      </c>
      <c r="G389">
        <f>(E389/D389)*100</f>
        <v>0.99557522123893805</v>
      </c>
    </row>
    <row r="390" spans="1:7" x14ac:dyDescent="0.35">
      <c r="A390" s="2">
        <v>45991</v>
      </c>
      <c r="B390" t="s">
        <v>8</v>
      </c>
      <c r="C390" t="s">
        <v>26</v>
      </c>
      <c r="D390">
        <v>859</v>
      </c>
      <c r="E390">
        <v>12</v>
      </c>
      <c r="F390" t="s">
        <v>37</v>
      </c>
      <c r="G390">
        <f>(E390/D390)*100</f>
        <v>1.3969732246798603</v>
      </c>
    </row>
    <row r="391" spans="1:7" x14ac:dyDescent="0.35">
      <c r="A391" s="2">
        <v>45525</v>
      </c>
      <c r="B391" t="s">
        <v>6</v>
      </c>
      <c r="C391" t="s">
        <v>14</v>
      </c>
      <c r="D391">
        <v>843</v>
      </c>
      <c r="E391">
        <v>23</v>
      </c>
      <c r="F391" t="s">
        <v>37</v>
      </c>
      <c r="G391">
        <f>(E391/D391)*100</f>
        <v>2.7283511269276395</v>
      </c>
    </row>
    <row r="392" spans="1:7" x14ac:dyDescent="0.35">
      <c r="A392" s="2">
        <v>45661</v>
      </c>
      <c r="B392" t="s">
        <v>7</v>
      </c>
      <c r="C392" t="s">
        <v>11</v>
      </c>
      <c r="D392">
        <v>649</v>
      </c>
      <c r="E392">
        <v>20</v>
      </c>
      <c r="F392" t="s">
        <v>37</v>
      </c>
      <c r="G392">
        <f>(E392/D392)*100</f>
        <v>3.0816640986132513</v>
      </c>
    </row>
    <row r="393" spans="1:7" x14ac:dyDescent="0.35">
      <c r="A393" s="2">
        <v>45544</v>
      </c>
      <c r="B393" t="s">
        <v>7</v>
      </c>
      <c r="C393" t="s">
        <v>26</v>
      </c>
      <c r="D393">
        <v>442</v>
      </c>
      <c r="E393">
        <v>14</v>
      </c>
      <c r="F393" t="s">
        <v>37</v>
      </c>
      <c r="G393">
        <f>(E393/D393)*100</f>
        <v>3.1674208144796379</v>
      </c>
    </row>
    <row r="394" spans="1:7" x14ac:dyDescent="0.35">
      <c r="A394" s="2">
        <v>45622</v>
      </c>
      <c r="B394" t="s">
        <v>6</v>
      </c>
      <c r="C394" t="s">
        <v>9</v>
      </c>
      <c r="D394">
        <v>298</v>
      </c>
      <c r="E394">
        <v>10</v>
      </c>
      <c r="F394" t="s">
        <v>37</v>
      </c>
      <c r="G394">
        <f>(E394/D394)*100</f>
        <v>3.3557046979865772</v>
      </c>
    </row>
    <row r="395" spans="1:7" x14ac:dyDescent="0.35">
      <c r="A395" s="2">
        <v>45329</v>
      </c>
      <c r="B395" t="s">
        <v>7</v>
      </c>
      <c r="C395" t="s">
        <v>17</v>
      </c>
      <c r="D395">
        <v>658</v>
      </c>
      <c r="E395">
        <v>24</v>
      </c>
      <c r="F395" t="s">
        <v>37</v>
      </c>
      <c r="G395">
        <f>(E395/D395)*100</f>
        <v>3.6474164133738598</v>
      </c>
    </row>
    <row r="396" spans="1:7" x14ac:dyDescent="0.35">
      <c r="A396" s="2">
        <v>45807</v>
      </c>
      <c r="B396" t="s">
        <v>6</v>
      </c>
      <c r="C396" t="s">
        <v>21</v>
      </c>
      <c r="D396">
        <v>939</v>
      </c>
      <c r="E396">
        <v>38</v>
      </c>
      <c r="F396" t="s">
        <v>37</v>
      </c>
      <c r="G396">
        <f>(E396/D396)*100</f>
        <v>4.046858359957402</v>
      </c>
    </row>
    <row r="397" spans="1:7" x14ac:dyDescent="0.35">
      <c r="A397" s="2">
        <v>45338</v>
      </c>
      <c r="B397" t="s">
        <v>6</v>
      </c>
      <c r="C397" t="s">
        <v>15</v>
      </c>
      <c r="D397">
        <v>841</v>
      </c>
      <c r="E397">
        <v>35</v>
      </c>
      <c r="F397" t="s">
        <v>37</v>
      </c>
      <c r="G397">
        <f>(E397/D397)*100</f>
        <v>4.1617122473246138</v>
      </c>
    </row>
    <row r="398" spans="1:7" x14ac:dyDescent="0.35">
      <c r="A398" s="2">
        <v>45932</v>
      </c>
      <c r="B398" t="s">
        <v>8</v>
      </c>
      <c r="C398" t="s">
        <v>11</v>
      </c>
      <c r="D398">
        <v>369</v>
      </c>
      <c r="E398">
        <v>20</v>
      </c>
      <c r="F398" t="s">
        <v>37</v>
      </c>
      <c r="G398">
        <f>(E398/D398)*100</f>
        <v>5.4200542005420056</v>
      </c>
    </row>
    <row r="399" spans="1:7" x14ac:dyDescent="0.35">
      <c r="A399" s="2">
        <v>45733</v>
      </c>
      <c r="B399" t="s">
        <v>6</v>
      </c>
      <c r="C399" t="s">
        <v>13</v>
      </c>
      <c r="D399">
        <v>206</v>
      </c>
      <c r="E399">
        <v>12</v>
      </c>
      <c r="F399" t="s">
        <v>37</v>
      </c>
      <c r="G399">
        <f>(E399/D399)*100</f>
        <v>5.825242718446602</v>
      </c>
    </row>
    <row r="400" spans="1:7" x14ac:dyDescent="0.35">
      <c r="A400" s="2">
        <v>45395</v>
      </c>
      <c r="B400" t="s">
        <v>7</v>
      </c>
      <c r="C400" t="s">
        <v>16</v>
      </c>
      <c r="D400">
        <v>517</v>
      </c>
      <c r="E400">
        <v>31</v>
      </c>
      <c r="F400" t="s">
        <v>37</v>
      </c>
      <c r="G400">
        <f>(E400/D400)*100</f>
        <v>5.9961315280464218</v>
      </c>
    </row>
    <row r="401" spans="1:7" x14ac:dyDescent="0.35">
      <c r="A401" s="2">
        <v>45954</v>
      </c>
      <c r="B401" t="s">
        <v>7</v>
      </c>
      <c r="C401" t="s">
        <v>12</v>
      </c>
      <c r="D401">
        <v>449</v>
      </c>
      <c r="E401">
        <v>27</v>
      </c>
      <c r="F401" t="s">
        <v>37</v>
      </c>
      <c r="G401">
        <f>(E401/D401)*100</f>
        <v>6.0133630289532292</v>
      </c>
    </row>
    <row r="402" spans="1:7" x14ac:dyDescent="0.35">
      <c r="A402" s="2">
        <v>45372</v>
      </c>
      <c r="B402" t="s">
        <v>8</v>
      </c>
      <c r="C402" t="s">
        <v>14</v>
      </c>
      <c r="D402">
        <v>926</v>
      </c>
      <c r="E402">
        <v>58</v>
      </c>
      <c r="F402" t="s">
        <v>37</v>
      </c>
      <c r="G402">
        <f>(E402/D402)*100</f>
        <v>6.2634989200863922</v>
      </c>
    </row>
    <row r="403" spans="1:7" x14ac:dyDescent="0.35">
      <c r="A403" s="2">
        <v>45916</v>
      </c>
      <c r="B403" t="s">
        <v>8</v>
      </c>
      <c r="C403" t="s">
        <v>17</v>
      </c>
      <c r="D403">
        <v>792</v>
      </c>
      <c r="E403">
        <v>55</v>
      </c>
      <c r="F403" t="s">
        <v>37</v>
      </c>
      <c r="G403">
        <f>(E403/D403)*100</f>
        <v>6.9444444444444446</v>
      </c>
    </row>
    <row r="404" spans="1:7" x14ac:dyDescent="0.35">
      <c r="A404" s="2">
        <v>45784</v>
      </c>
      <c r="B404" t="s">
        <v>6</v>
      </c>
      <c r="C404" t="s">
        <v>14</v>
      </c>
      <c r="D404">
        <v>993</v>
      </c>
      <c r="E404">
        <v>70</v>
      </c>
      <c r="F404" t="s">
        <v>37</v>
      </c>
      <c r="G404">
        <f>(E404/D404)*100</f>
        <v>7.0493454179254789</v>
      </c>
    </row>
    <row r="405" spans="1:7" x14ac:dyDescent="0.35">
      <c r="A405" s="2">
        <v>45372</v>
      </c>
      <c r="B405" t="s">
        <v>7</v>
      </c>
      <c r="C405" t="s">
        <v>11</v>
      </c>
      <c r="D405">
        <v>764</v>
      </c>
      <c r="E405">
        <v>70</v>
      </c>
      <c r="F405" t="s">
        <v>37</v>
      </c>
      <c r="G405">
        <f>(E405/D405)*100</f>
        <v>9.1623036649214651</v>
      </c>
    </row>
    <row r="406" spans="1:7" x14ac:dyDescent="0.35">
      <c r="A406" s="2">
        <v>45963</v>
      </c>
      <c r="B406" t="s">
        <v>7</v>
      </c>
      <c r="C406" t="s">
        <v>20</v>
      </c>
      <c r="D406">
        <v>207</v>
      </c>
      <c r="E406">
        <v>2</v>
      </c>
      <c r="F406" t="s">
        <v>30</v>
      </c>
      <c r="G406">
        <f>(E406/D406)*100</f>
        <v>0.96618357487922701</v>
      </c>
    </row>
    <row r="407" spans="1:7" x14ac:dyDescent="0.35">
      <c r="A407" s="2">
        <v>45379</v>
      </c>
      <c r="B407" t="s">
        <v>7</v>
      </c>
      <c r="C407" t="s">
        <v>18</v>
      </c>
      <c r="D407">
        <v>236</v>
      </c>
      <c r="E407">
        <v>6</v>
      </c>
      <c r="F407" t="s">
        <v>30</v>
      </c>
      <c r="G407">
        <f>(E407/D407)*100</f>
        <v>2.5423728813559325</v>
      </c>
    </row>
    <row r="408" spans="1:7" x14ac:dyDescent="0.35">
      <c r="A408" s="2">
        <v>45426</v>
      </c>
      <c r="B408" t="s">
        <v>7</v>
      </c>
      <c r="C408" t="s">
        <v>21</v>
      </c>
      <c r="D408">
        <v>549</v>
      </c>
      <c r="E408">
        <v>15</v>
      </c>
      <c r="F408" t="s">
        <v>30</v>
      </c>
      <c r="G408">
        <f>(E408/D408)*100</f>
        <v>2.7322404371584699</v>
      </c>
    </row>
    <row r="409" spans="1:7" x14ac:dyDescent="0.35">
      <c r="A409" s="2">
        <v>45979</v>
      </c>
      <c r="B409" t="s">
        <v>6</v>
      </c>
      <c r="C409" t="s">
        <v>28</v>
      </c>
      <c r="D409">
        <v>232</v>
      </c>
      <c r="E409">
        <v>7</v>
      </c>
      <c r="F409" t="s">
        <v>30</v>
      </c>
      <c r="G409">
        <f>(E409/D409)*100</f>
        <v>3.0172413793103448</v>
      </c>
    </row>
    <row r="410" spans="1:7" x14ac:dyDescent="0.35">
      <c r="A410" s="2">
        <v>45666</v>
      </c>
      <c r="B410" t="s">
        <v>8</v>
      </c>
      <c r="C410" t="s">
        <v>15</v>
      </c>
      <c r="D410">
        <v>298</v>
      </c>
      <c r="E410">
        <v>9</v>
      </c>
      <c r="F410" t="s">
        <v>30</v>
      </c>
      <c r="G410">
        <f>(E410/D410)*100</f>
        <v>3.0201342281879198</v>
      </c>
    </row>
    <row r="411" spans="1:7" x14ac:dyDescent="0.35">
      <c r="A411" s="2">
        <v>45938</v>
      </c>
      <c r="B411" t="s">
        <v>6</v>
      </c>
      <c r="C411" t="s">
        <v>15</v>
      </c>
      <c r="D411">
        <v>725</v>
      </c>
      <c r="E411">
        <v>28</v>
      </c>
      <c r="F411" t="s">
        <v>30</v>
      </c>
      <c r="G411">
        <f>(E411/D411)*100</f>
        <v>3.8620689655172415</v>
      </c>
    </row>
    <row r="412" spans="1:7" x14ac:dyDescent="0.35">
      <c r="A412" s="2">
        <v>45797</v>
      </c>
      <c r="B412" t="s">
        <v>8</v>
      </c>
      <c r="C412" t="s">
        <v>9</v>
      </c>
      <c r="D412">
        <v>804</v>
      </c>
      <c r="E412">
        <v>32</v>
      </c>
      <c r="F412" t="s">
        <v>30</v>
      </c>
      <c r="G412">
        <f>(E412/D412)*100</f>
        <v>3.9800995024875623</v>
      </c>
    </row>
    <row r="413" spans="1:7" x14ac:dyDescent="0.35">
      <c r="A413" s="2">
        <v>45934</v>
      </c>
      <c r="B413" t="s">
        <v>7</v>
      </c>
      <c r="C413" t="s">
        <v>27</v>
      </c>
      <c r="D413">
        <v>212</v>
      </c>
      <c r="E413">
        <v>9</v>
      </c>
      <c r="F413" t="s">
        <v>30</v>
      </c>
      <c r="G413">
        <f>(E413/D413)*100</f>
        <v>4.2452830188679247</v>
      </c>
    </row>
    <row r="414" spans="1:7" x14ac:dyDescent="0.35">
      <c r="A414" s="2">
        <v>46021</v>
      </c>
      <c r="B414" t="s">
        <v>6</v>
      </c>
      <c r="C414" t="s">
        <v>26</v>
      </c>
      <c r="D414">
        <v>892</v>
      </c>
      <c r="E414">
        <v>39</v>
      </c>
      <c r="F414" t="s">
        <v>30</v>
      </c>
      <c r="G414">
        <f>(E414/D414)*100</f>
        <v>4.3721973094170403</v>
      </c>
    </row>
    <row r="415" spans="1:7" x14ac:dyDescent="0.35">
      <c r="A415" s="2">
        <v>45871</v>
      </c>
      <c r="B415" t="s">
        <v>6</v>
      </c>
      <c r="C415" t="s">
        <v>23</v>
      </c>
      <c r="D415">
        <v>564</v>
      </c>
      <c r="E415">
        <v>27</v>
      </c>
      <c r="F415" t="s">
        <v>30</v>
      </c>
      <c r="G415">
        <f>(E415/D415)*100</f>
        <v>4.7872340425531918</v>
      </c>
    </row>
    <row r="416" spans="1:7" x14ac:dyDescent="0.35">
      <c r="A416" s="2">
        <v>45563</v>
      </c>
      <c r="B416" t="s">
        <v>6</v>
      </c>
      <c r="C416" t="s">
        <v>28</v>
      </c>
      <c r="D416">
        <v>345</v>
      </c>
      <c r="E416">
        <v>17</v>
      </c>
      <c r="F416" t="s">
        <v>30</v>
      </c>
      <c r="G416">
        <f>(E416/D416)*100</f>
        <v>4.9275362318840585</v>
      </c>
    </row>
    <row r="417" spans="1:7" x14ac:dyDescent="0.35">
      <c r="A417" s="2">
        <v>45765</v>
      </c>
      <c r="B417" t="s">
        <v>7</v>
      </c>
      <c r="C417" t="s">
        <v>20</v>
      </c>
      <c r="D417">
        <v>950</v>
      </c>
      <c r="E417">
        <v>47</v>
      </c>
      <c r="F417" t="s">
        <v>30</v>
      </c>
      <c r="G417">
        <f>(E417/D417)*100</f>
        <v>4.9473684210526319</v>
      </c>
    </row>
    <row r="418" spans="1:7" x14ac:dyDescent="0.35">
      <c r="A418" s="2">
        <v>45961</v>
      </c>
      <c r="B418" t="s">
        <v>7</v>
      </c>
      <c r="C418" t="s">
        <v>16</v>
      </c>
      <c r="D418">
        <v>329</v>
      </c>
      <c r="E418">
        <v>17</v>
      </c>
      <c r="F418" t="s">
        <v>30</v>
      </c>
      <c r="G418">
        <f>(E418/D418)*100</f>
        <v>5.1671732522796354</v>
      </c>
    </row>
    <row r="419" spans="1:7" x14ac:dyDescent="0.35">
      <c r="A419" s="2">
        <v>45435</v>
      </c>
      <c r="B419" t="s">
        <v>7</v>
      </c>
      <c r="C419" t="s">
        <v>13</v>
      </c>
      <c r="D419">
        <v>211</v>
      </c>
      <c r="E419">
        <v>12</v>
      </c>
      <c r="F419" t="s">
        <v>30</v>
      </c>
      <c r="G419">
        <f>(E419/D419)*100</f>
        <v>5.6872037914691944</v>
      </c>
    </row>
    <row r="420" spans="1:7" x14ac:dyDescent="0.35">
      <c r="A420" s="2">
        <v>45796</v>
      </c>
      <c r="B420" t="s">
        <v>7</v>
      </c>
      <c r="C420" t="s">
        <v>14</v>
      </c>
      <c r="D420">
        <v>279</v>
      </c>
      <c r="E420">
        <v>16</v>
      </c>
      <c r="F420" t="s">
        <v>30</v>
      </c>
      <c r="G420">
        <f>(E420/D420)*100</f>
        <v>5.7347670250896057</v>
      </c>
    </row>
    <row r="421" spans="1:7" x14ac:dyDescent="0.35">
      <c r="A421" s="2">
        <v>45727</v>
      </c>
      <c r="B421" t="s">
        <v>7</v>
      </c>
      <c r="C421" t="s">
        <v>10</v>
      </c>
      <c r="D421">
        <v>812</v>
      </c>
      <c r="E421">
        <v>52</v>
      </c>
      <c r="F421" t="s">
        <v>30</v>
      </c>
      <c r="G421">
        <f>(E421/D421)*100</f>
        <v>6.403940886699508</v>
      </c>
    </row>
    <row r="422" spans="1:7" x14ac:dyDescent="0.35">
      <c r="A422" s="2">
        <v>45982</v>
      </c>
      <c r="B422" t="s">
        <v>6</v>
      </c>
      <c r="C422" t="s">
        <v>9</v>
      </c>
      <c r="D422">
        <v>800</v>
      </c>
      <c r="E422">
        <v>53</v>
      </c>
      <c r="F422" t="s">
        <v>30</v>
      </c>
      <c r="G422">
        <f>(E422/D422)*100</f>
        <v>6.625</v>
      </c>
    </row>
    <row r="423" spans="1:7" x14ac:dyDescent="0.35">
      <c r="A423" s="2">
        <v>45863</v>
      </c>
      <c r="B423" t="s">
        <v>7</v>
      </c>
      <c r="C423" t="s">
        <v>24</v>
      </c>
      <c r="D423">
        <v>218</v>
      </c>
      <c r="E423">
        <v>16</v>
      </c>
      <c r="F423" t="s">
        <v>30</v>
      </c>
      <c r="G423">
        <f>(E423/D423)*100</f>
        <v>7.3394495412844041</v>
      </c>
    </row>
    <row r="424" spans="1:7" x14ac:dyDescent="0.35">
      <c r="A424" s="2">
        <v>45413</v>
      </c>
      <c r="B424" t="s">
        <v>6</v>
      </c>
      <c r="C424" t="s">
        <v>16</v>
      </c>
      <c r="D424">
        <v>274</v>
      </c>
      <c r="E424">
        <v>22</v>
      </c>
      <c r="F424" t="s">
        <v>30</v>
      </c>
      <c r="G424">
        <f>(E424/D424)*100</f>
        <v>8.0291970802919703</v>
      </c>
    </row>
    <row r="425" spans="1:7" x14ac:dyDescent="0.35">
      <c r="A425" s="2">
        <v>45795</v>
      </c>
      <c r="B425" t="s">
        <v>8</v>
      </c>
      <c r="C425" t="s">
        <v>26</v>
      </c>
      <c r="D425">
        <v>477</v>
      </c>
      <c r="E425">
        <v>40</v>
      </c>
      <c r="F425" t="s">
        <v>30</v>
      </c>
      <c r="G425">
        <f>(E425/D425)*100</f>
        <v>8.3857442348008391</v>
      </c>
    </row>
    <row r="426" spans="1:7" x14ac:dyDescent="0.35">
      <c r="A426" s="2">
        <v>45442</v>
      </c>
      <c r="B426" t="s">
        <v>6</v>
      </c>
      <c r="C426" t="s">
        <v>24</v>
      </c>
      <c r="D426">
        <v>938</v>
      </c>
      <c r="E426">
        <v>9</v>
      </c>
      <c r="F426" t="s">
        <v>35</v>
      </c>
      <c r="G426">
        <f>(E426/D426)*100</f>
        <v>0.95948827292110883</v>
      </c>
    </row>
    <row r="427" spans="1:7" x14ac:dyDescent="0.35">
      <c r="A427" s="2">
        <v>45617</v>
      </c>
      <c r="B427" t="s">
        <v>6</v>
      </c>
      <c r="C427" t="s">
        <v>19</v>
      </c>
      <c r="D427">
        <v>246</v>
      </c>
      <c r="E427">
        <v>3</v>
      </c>
      <c r="F427" t="s">
        <v>35</v>
      </c>
      <c r="G427">
        <f>(E427/D427)*100</f>
        <v>1.2195121951219512</v>
      </c>
    </row>
    <row r="428" spans="1:7" x14ac:dyDescent="0.35">
      <c r="A428" s="2">
        <v>45668</v>
      </c>
      <c r="B428" t="s">
        <v>8</v>
      </c>
      <c r="C428" t="s">
        <v>24</v>
      </c>
      <c r="D428">
        <v>962</v>
      </c>
      <c r="E428">
        <v>15</v>
      </c>
      <c r="F428" t="s">
        <v>35</v>
      </c>
      <c r="G428">
        <f>(E428/D428)*100</f>
        <v>1.5592515592515594</v>
      </c>
    </row>
    <row r="429" spans="1:7" x14ac:dyDescent="0.35">
      <c r="A429" s="2">
        <v>45950</v>
      </c>
      <c r="B429" t="s">
        <v>6</v>
      </c>
      <c r="C429" t="s">
        <v>10</v>
      </c>
      <c r="D429">
        <v>952</v>
      </c>
      <c r="E429">
        <v>19</v>
      </c>
      <c r="F429" t="s">
        <v>35</v>
      </c>
      <c r="G429">
        <f>(E429/D429)*100</f>
        <v>1.9957983193277309</v>
      </c>
    </row>
    <row r="430" spans="1:7" x14ac:dyDescent="0.35">
      <c r="A430" s="2">
        <v>45790</v>
      </c>
      <c r="B430" t="s">
        <v>7</v>
      </c>
      <c r="C430" t="s">
        <v>25</v>
      </c>
      <c r="D430">
        <v>472</v>
      </c>
      <c r="E430">
        <v>10</v>
      </c>
      <c r="F430" t="s">
        <v>35</v>
      </c>
      <c r="G430">
        <f>(E430/D430)*100</f>
        <v>2.1186440677966099</v>
      </c>
    </row>
    <row r="431" spans="1:7" x14ac:dyDescent="0.35">
      <c r="A431" s="2">
        <v>45538</v>
      </c>
      <c r="B431" t="s">
        <v>8</v>
      </c>
      <c r="C431" t="s">
        <v>15</v>
      </c>
      <c r="D431">
        <v>722</v>
      </c>
      <c r="E431">
        <v>17</v>
      </c>
      <c r="F431" t="s">
        <v>35</v>
      </c>
      <c r="G431">
        <f>(E431/D431)*100</f>
        <v>2.3545706371191137</v>
      </c>
    </row>
    <row r="432" spans="1:7" x14ac:dyDescent="0.35">
      <c r="A432" s="2">
        <v>45809</v>
      </c>
      <c r="B432" t="s">
        <v>7</v>
      </c>
      <c r="C432" t="s">
        <v>22</v>
      </c>
      <c r="D432">
        <v>315</v>
      </c>
      <c r="E432">
        <v>9</v>
      </c>
      <c r="F432" t="s">
        <v>35</v>
      </c>
      <c r="G432">
        <f>(E432/D432)*100</f>
        <v>2.8571428571428572</v>
      </c>
    </row>
    <row r="433" spans="1:7" x14ac:dyDescent="0.35">
      <c r="A433" s="2">
        <v>45344</v>
      </c>
      <c r="B433" t="s">
        <v>7</v>
      </c>
      <c r="C433" t="s">
        <v>11</v>
      </c>
      <c r="D433">
        <v>204</v>
      </c>
      <c r="E433">
        <v>6</v>
      </c>
      <c r="F433" t="s">
        <v>35</v>
      </c>
      <c r="G433">
        <f>(E433/D433)*100</f>
        <v>2.9411764705882351</v>
      </c>
    </row>
    <row r="434" spans="1:7" x14ac:dyDescent="0.35">
      <c r="A434" s="2">
        <v>45997</v>
      </c>
      <c r="B434" t="s">
        <v>8</v>
      </c>
      <c r="C434" t="s">
        <v>18</v>
      </c>
      <c r="D434">
        <v>562</v>
      </c>
      <c r="E434">
        <v>18</v>
      </c>
      <c r="F434" t="s">
        <v>35</v>
      </c>
      <c r="G434">
        <f>(E434/D434)*100</f>
        <v>3.2028469750889679</v>
      </c>
    </row>
    <row r="435" spans="1:7" x14ac:dyDescent="0.35">
      <c r="A435" s="2">
        <v>45528</v>
      </c>
      <c r="B435" t="s">
        <v>7</v>
      </c>
      <c r="C435" t="s">
        <v>14</v>
      </c>
      <c r="D435">
        <v>811</v>
      </c>
      <c r="E435">
        <v>35</v>
      </c>
      <c r="F435" t="s">
        <v>35</v>
      </c>
      <c r="G435">
        <f>(E435/D435)*100</f>
        <v>4.3156596794081379</v>
      </c>
    </row>
    <row r="436" spans="1:7" x14ac:dyDescent="0.35">
      <c r="A436" s="2">
        <v>45904</v>
      </c>
      <c r="B436" t="s">
        <v>6</v>
      </c>
      <c r="C436" t="s">
        <v>13</v>
      </c>
      <c r="D436">
        <v>887</v>
      </c>
      <c r="E436">
        <v>41</v>
      </c>
      <c r="F436" t="s">
        <v>35</v>
      </c>
      <c r="G436">
        <f>(E436/D436)*100</f>
        <v>4.6223224351747465</v>
      </c>
    </row>
    <row r="437" spans="1:7" x14ac:dyDescent="0.35">
      <c r="A437" s="2">
        <v>45866</v>
      </c>
      <c r="B437" t="s">
        <v>7</v>
      </c>
      <c r="C437" t="s">
        <v>21</v>
      </c>
      <c r="D437">
        <v>495</v>
      </c>
      <c r="E437">
        <v>23</v>
      </c>
      <c r="F437" t="s">
        <v>35</v>
      </c>
      <c r="G437">
        <f>(E437/D437)*100</f>
        <v>4.6464646464646462</v>
      </c>
    </row>
    <row r="438" spans="1:7" x14ac:dyDescent="0.35">
      <c r="A438" s="2">
        <v>45481</v>
      </c>
      <c r="B438" t="s">
        <v>8</v>
      </c>
      <c r="C438" t="s">
        <v>20</v>
      </c>
      <c r="D438">
        <v>774</v>
      </c>
      <c r="E438">
        <v>36</v>
      </c>
      <c r="F438" t="s">
        <v>35</v>
      </c>
      <c r="G438">
        <f>(E438/D438)*100</f>
        <v>4.6511627906976747</v>
      </c>
    </row>
    <row r="439" spans="1:7" x14ac:dyDescent="0.35">
      <c r="A439" s="2">
        <v>45802</v>
      </c>
      <c r="B439" t="s">
        <v>8</v>
      </c>
      <c r="C439" t="s">
        <v>16</v>
      </c>
      <c r="D439">
        <v>216</v>
      </c>
      <c r="E439">
        <v>15</v>
      </c>
      <c r="F439" t="s">
        <v>35</v>
      </c>
      <c r="G439">
        <f>(E439/D439)*100</f>
        <v>6.9444444444444446</v>
      </c>
    </row>
    <row r="440" spans="1:7" x14ac:dyDescent="0.35">
      <c r="A440" s="2">
        <v>45978</v>
      </c>
      <c r="B440" t="s">
        <v>8</v>
      </c>
      <c r="C440" t="s">
        <v>16</v>
      </c>
      <c r="D440">
        <v>547</v>
      </c>
      <c r="E440">
        <v>39</v>
      </c>
      <c r="F440" t="s">
        <v>35</v>
      </c>
      <c r="G440">
        <f>(E440/D440)*100</f>
        <v>7.1297989031078606</v>
      </c>
    </row>
    <row r="441" spans="1:7" x14ac:dyDescent="0.35">
      <c r="A441" s="2">
        <v>45758</v>
      </c>
      <c r="B441" t="s">
        <v>6</v>
      </c>
      <c r="C441" t="s">
        <v>17</v>
      </c>
      <c r="D441">
        <v>476</v>
      </c>
      <c r="E441">
        <v>38</v>
      </c>
      <c r="F441" t="s">
        <v>35</v>
      </c>
      <c r="G441">
        <f>(E441/D441)*100</f>
        <v>7.9831932773109235</v>
      </c>
    </row>
    <row r="442" spans="1:7" x14ac:dyDescent="0.35">
      <c r="A442" s="2">
        <v>45497</v>
      </c>
      <c r="B442" t="s">
        <v>6</v>
      </c>
      <c r="C442" t="s">
        <v>10</v>
      </c>
      <c r="D442">
        <v>844</v>
      </c>
      <c r="E442">
        <v>69</v>
      </c>
      <c r="F442" t="s">
        <v>35</v>
      </c>
      <c r="G442">
        <f>(E442/D442)*100</f>
        <v>8.1753554502369674</v>
      </c>
    </row>
    <row r="443" spans="1:7" x14ac:dyDescent="0.35">
      <c r="A443" s="2">
        <v>45945</v>
      </c>
      <c r="B443" t="s">
        <v>6</v>
      </c>
      <c r="C443" t="s">
        <v>22</v>
      </c>
      <c r="D443">
        <v>533</v>
      </c>
      <c r="E443">
        <v>7</v>
      </c>
      <c r="F443" t="s">
        <v>38</v>
      </c>
      <c r="G443">
        <f>(E443/D443)*100</f>
        <v>1.3133208255159476</v>
      </c>
    </row>
    <row r="444" spans="1:7" x14ac:dyDescent="0.35">
      <c r="A444" s="2">
        <v>45416</v>
      </c>
      <c r="B444" t="s">
        <v>6</v>
      </c>
      <c r="C444" t="s">
        <v>20</v>
      </c>
      <c r="D444">
        <v>540</v>
      </c>
      <c r="E444">
        <v>9</v>
      </c>
      <c r="F444" t="s">
        <v>38</v>
      </c>
      <c r="G444">
        <f>(E444/D444)*100</f>
        <v>1.6666666666666667</v>
      </c>
    </row>
    <row r="445" spans="1:7" x14ac:dyDescent="0.35">
      <c r="A445" s="2">
        <v>46001</v>
      </c>
      <c r="B445" t="s">
        <v>7</v>
      </c>
      <c r="C445" t="s">
        <v>15</v>
      </c>
      <c r="D445">
        <v>760</v>
      </c>
      <c r="E445">
        <v>20</v>
      </c>
      <c r="F445" t="s">
        <v>38</v>
      </c>
      <c r="G445">
        <f>(E445/D445)*100</f>
        <v>2.6315789473684208</v>
      </c>
    </row>
    <row r="446" spans="1:7" x14ac:dyDescent="0.35">
      <c r="A446" s="2">
        <v>45338</v>
      </c>
      <c r="B446" t="s">
        <v>7</v>
      </c>
      <c r="C446" t="s">
        <v>12</v>
      </c>
      <c r="D446">
        <v>696</v>
      </c>
      <c r="E446">
        <v>20</v>
      </c>
      <c r="F446" t="s">
        <v>38</v>
      </c>
      <c r="G446">
        <f>(E446/D446)*100</f>
        <v>2.8735632183908044</v>
      </c>
    </row>
    <row r="447" spans="1:7" x14ac:dyDescent="0.35">
      <c r="A447" s="2">
        <v>45779</v>
      </c>
      <c r="B447" t="s">
        <v>7</v>
      </c>
      <c r="C447" t="s">
        <v>22</v>
      </c>
      <c r="D447">
        <v>492</v>
      </c>
      <c r="E447">
        <v>17</v>
      </c>
      <c r="F447" t="s">
        <v>38</v>
      </c>
      <c r="G447">
        <f>(E447/D447)*100</f>
        <v>3.4552845528455287</v>
      </c>
    </row>
    <row r="448" spans="1:7" x14ac:dyDescent="0.35">
      <c r="A448" s="2">
        <v>45750</v>
      </c>
      <c r="B448" t="s">
        <v>8</v>
      </c>
      <c r="C448" t="s">
        <v>15</v>
      </c>
      <c r="D448">
        <v>295</v>
      </c>
      <c r="E448">
        <v>12</v>
      </c>
      <c r="F448" t="s">
        <v>38</v>
      </c>
      <c r="G448">
        <f>(E448/D448)*100</f>
        <v>4.0677966101694913</v>
      </c>
    </row>
    <row r="449" spans="1:7" x14ac:dyDescent="0.35">
      <c r="A449" s="2">
        <v>45781</v>
      </c>
      <c r="B449" t="s">
        <v>8</v>
      </c>
      <c r="C449" t="s">
        <v>17</v>
      </c>
      <c r="D449">
        <v>642</v>
      </c>
      <c r="E449">
        <v>28</v>
      </c>
      <c r="F449" t="s">
        <v>38</v>
      </c>
      <c r="G449">
        <f>(E449/D449)*100</f>
        <v>4.361370716510903</v>
      </c>
    </row>
    <row r="450" spans="1:7" x14ac:dyDescent="0.35">
      <c r="A450" s="2">
        <v>45397</v>
      </c>
      <c r="B450" t="s">
        <v>8</v>
      </c>
      <c r="C450" t="s">
        <v>28</v>
      </c>
      <c r="D450">
        <v>503</v>
      </c>
      <c r="E450">
        <v>25</v>
      </c>
      <c r="F450" t="s">
        <v>38</v>
      </c>
      <c r="G450">
        <f>(E450/D450)*100</f>
        <v>4.9701789264413518</v>
      </c>
    </row>
    <row r="451" spans="1:7" x14ac:dyDescent="0.35">
      <c r="A451" s="2">
        <v>45318</v>
      </c>
      <c r="B451" t="s">
        <v>7</v>
      </c>
      <c r="C451" t="s">
        <v>18</v>
      </c>
      <c r="D451">
        <v>992</v>
      </c>
      <c r="E451">
        <v>61</v>
      </c>
      <c r="F451" t="s">
        <v>38</v>
      </c>
      <c r="G451">
        <f>(E451/D451)*100</f>
        <v>6.149193548387097</v>
      </c>
    </row>
    <row r="452" spans="1:7" x14ac:dyDescent="0.35">
      <c r="A452" s="2">
        <v>45593</v>
      </c>
      <c r="B452" t="s">
        <v>8</v>
      </c>
      <c r="C452" t="s">
        <v>13</v>
      </c>
      <c r="D452">
        <v>915</v>
      </c>
      <c r="E452">
        <v>73</v>
      </c>
      <c r="F452" t="s">
        <v>38</v>
      </c>
      <c r="G452">
        <f>(E452/D452)*100</f>
        <v>7.9781420765027322</v>
      </c>
    </row>
    <row r="453" spans="1:7" x14ac:dyDescent="0.35">
      <c r="A453" s="2">
        <v>45411</v>
      </c>
      <c r="B453" t="s">
        <v>7</v>
      </c>
      <c r="C453" t="s">
        <v>27</v>
      </c>
      <c r="D453">
        <v>740</v>
      </c>
      <c r="E453">
        <v>68</v>
      </c>
      <c r="F453" t="s">
        <v>38</v>
      </c>
      <c r="G453">
        <f>(E453/D453)*100</f>
        <v>9.1891891891891895</v>
      </c>
    </row>
    <row r="454" spans="1:7" x14ac:dyDescent="0.35">
      <c r="A454" s="2">
        <v>45635</v>
      </c>
      <c r="B454" t="s">
        <v>8</v>
      </c>
      <c r="C454" t="s">
        <v>21</v>
      </c>
      <c r="D454">
        <v>566</v>
      </c>
      <c r="E454">
        <v>6</v>
      </c>
      <c r="F454" t="s">
        <v>42</v>
      </c>
      <c r="G454">
        <f>(E454/D454)*100</f>
        <v>1.0600706713780919</v>
      </c>
    </row>
    <row r="455" spans="1:7" x14ac:dyDescent="0.35">
      <c r="A455" s="2">
        <v>45629</v>
      </c>
      <c r="B455" t="s">
        <v>7</v>
      </c>
      <c r="C455" t="s">
        <v>28</v>
      </c>
      <c r="D455">
        <v>260</v>
      </c>
      <c r="E455">
        <v>4</v>
      </c>
      <c r="F455" t="s">
        <v>42</v>
      </c>
      <c r="G455">
        <f>(E455/D455)*100</f>
        <v>1.5384615384615385</v>
      </c>
    </row>
    <row r="456" spans="1:7" x14ac:dyDescent="0.35">
      <c r="A456" s="2">
        <v>45537</v>
      </c>
      <c r="B456" t="s">
        <v>8</v>
      </c>
      <c r="C456" t="s">
        <v>18</v>
      </c>
      <c r="D456">
        <v>201</v>
      </c>
      <c r="E456">
        <v>5</v>
      </c>
      <c r="F456" t="s">
        <v>42</v>
      </c>
      <c r="G456">
        <f>(E456/D456)*100</f>
        <v>2.4875621890547266</v>
      </c>
    </row>
    <row r="457" spans="1:7" x14ac:dyDescent="0.35">
      <c r="A457" s="2">
        <v>45943</v>
      </c>
      <c r="B457" t="s">
        <v>7</v>
      </c>
      <c r="C457" t="s">
        <v>21</v>
      </c>
      <c r="D457">
        <v>425</v>
      </c>
      <c r="E457">
        <v>11</v>
      </c>
      <c r="F457" t="s">
        <v>42</v>
      </c>
      <c r="G457">
        <f>(E457/D457)*100</f>
        <v>2.5882352941176472</v>
      </c>
    </row>
    <row r="458" spans="1:7" x14ac:dyDescent="0.35">
      <c r="A458" s="2">
        <v>45509</v>
      </c>
      <c r="B458" t="s">
        <v>6</v>
      </c>
      <c r="C458" t="s">
        <v>26</v>
      </c>
      <c r="D458">
        <v>926</v>
      </c>
      <c r="E458">
        <v>31</v>
      </c>
      <c r="F458" t="s">
        <v>42</v>
      </c>
      <c r="G458">
        <f>(E458/D458)*100</f>
        <v>3.3477321814254863</v>
      </c>
    </row>
    <row r="459" spans="1:7" x14ac:dyDescent="0.35">
      <c r="A459" s="2">
        <v>45605</v>
      </c>
      <c r="B459" t="s">
        <v>8</v>
      </c>
      <c r="C459" t="s">
        <v>15</v>
      </c>
      <c r="D459">
        <v>373</v>
      </c>
      <c r="E459">
        <v>16</v>
      </c>
      <c r="F459" t="s">
        <v>42</v>
      </c>
      <c r="G459">
        <f>(E459/D459)*100</f>
        <v>4.2895442359249332</v>
      </c>
    </row>
    <row r="460" spans="1:7" x14ac:dyDescent="0.35">
      <c r="A460" s="2">
        <v>45534</v>
      </c>
      <c r="B460" t="s">
        <v>8</v>
      </c>
      <c r="C460" t="s">
        <v>16</v>
      </c>
      <c r="D460">
        <v>246</v>
      </c>
      <c r="E460">
        <v>11</v>
      </c>
      <c r="F460" t="s">
        <v>42</v>
      </c>
      <c r="G460">
        <f>(E460/D460)*100</f>
        <v>4.4715447154471546</v>
      </c>
    </row>
    <row r="461" spans="1:7" x14ac:dyDescent="0.35">
      <c r="A461" s="2">
        <v>45693</v>
      </c>
      <c r="B461" t="s">
        <v>8</v>
      </c>
      <c r="C461" t="s">
        <v>9</v>
      </c>
      <c r="D461">
        <v>502</v>
      </c>
      <c r="E461">
        <v>23</v>
      </c>
      <c r="F461" t="s">
        <v>42</v>
      </c>
      <c r="G461">
        <f>(E461/D461)*100</f>
        <v>4.5816733067729087</v>
      </c>
    </row>
    <row r="462" spans="1:7" x14ac:dyDescent="0.35">
      <c r="A462" s="2">
        <v>45632</v>
      </c>
      <c r="B462" t="s">
        <v>8</v>
      </c>
      <c r="C462" t="s">
        <v>16</v>
      </c>
      <c r="D462">
        <v>676</v>
      </c>
      <c r="E462">
        <v>32</v>
      </c>
      <c r="F462" t="s">
        <v>42</v>
      </c>
      <c r="G462">
        <f>(E462/D462)*100</f>
        <v>4.7337278106508878</v>
      </c>
    </row>
    <row r="463" spans="1:7" x14ac:dyDescent="0.35">
      <c r="A463" s="2">
        <v>45995</v>
      </c>
      <c r="B463" t="s">
        <v>7</v>
      </c>
      <c r="C463" t="s">
        <v>18</v>
      </c>
      <c r="D463">
        <v>682</v>
      </c>
      <c r="E463">
        <v>47</v>
      </c>
      <c r="F463" t="s">
        <v>42</v>
      </c>
      <c r="G463">
        <f>(E463/D463)*100</f>
        <v>6.8914956011730197</v>
      </c>
    </row>
    <row r="464" spans="1:7" x14ac:dyDescent="0.35">
      <c r="A464" s="2">
        <v>45939</v>
      </c>
      <c r="B464" t="s">
        <v>7</v>
      </c>
      <c r="C464" t="s">
        <v>17</v>
      </c>
      <c r="D464">
        <v>202</v>
      </c>
      <c r="E464">
        <v>14</v>
      </c>
      <c r="F464" t="s">
        <v>42</v>
      </c>
      <c r="G464">
        <f>(E464/D464)*100</f>
        <v>6.9306930693069315</v>
      </c>
    </row>
    <row r="465" spans="1:7" x14ac:dyDescent="0.35">
      <c r="A465" s="2">
        <v>45794</v>
      </c>
      <c r="B465" t="s">
        <v>7</v>
      </c>
      <c r="C465" t="s">
        <v>25</v>
      </c>
      <c r="D465">
        <v>845</v>
      </c>
      <c r="E465">
        <v>65</v>
      </c>
      <c r="F465" t="s">
        <v>42</v>
      </c>
      <c r="G465">
        <f>(E465/D465)*100</f>
        <v>7.6923076923076925</v>
      </c>
    </row>
    <row r="466" spans="1:7" x14ac:dyDescent="0.35">
      <c r="A466" s="2">
        <v>45679</v>
      </c>
      <c r="B466" t="s">
        <v>8</v>
      </c>
      <c r="C466" t="s">
        <v>11</v>
      </c>
      <c r="D466">
        <v>200</v>
      </c>
      <c r="E466">
        <v>16</v>
      </c>
      <c r="F466" t="s">
        <v>42</v>
      </c>
      <c r="G466">
        <f>(E466/D466)*100</f>
        <v>8</v>
      </c>
    </row>
    <row r="467" spans="1:7" x14ac:dyDescent="0.35">
      <c r="A467" s="2">
        <v>45698</v>
      </c>
      <c r="B467" t="s">
        <v>8</v>
      </c>
      <c r="C467" t="s">
        <v>21</v>
      </c>
      <c r="D467">
        <v>397</v>
      </c>
      <c r="E467">
        <v>32</v>
      </c>
      <c r="F467" t="s">
        <v>42</v>
      </c>
      <c r="G467">
        <f>(E467/D467)*100</f>
        <v>8.0604534005037785</v>
      </c>
    </row>
    <row r="468" spans="1:7" x14ac:dyDescent="0.35">
      <c r="A468" s="2">
        <v>45933</v>
      </c>
      <c r="B468" t="s">
        <v>8</v>
      </c>
      <c r="C468" t="s">
        <v>12</v>
      </c>
      <c r="D468">
        <v>641</v>
      </c>
      <c r="E468">
        <v>52</v>
      </c>
      <c r="F468" t="s">
        <v>42</v>
      </c>
      <c r="G468">
        <f>(E468/D468)*100</f>
        <v>8.1123244929797202</v>
      </c>
    </row>
    <row r="469" spans="1:7" x14ac:dyDescent="0.35">
      <c r="A469" s="2">
        <v>45300</v>
      </c>
      <c r="B469" t="s">
        <v>6</v>
      </c>
      <c r="C469" t="s">
        <v>18</v>
      </c>
      <c r="D469">
        <v>952</v>
      </c>
      <c r="E469">
        <v>87</v>
      </c>
      <c r="F469" t="s">
        <v>42</v>
      </c>
      <c r="G469">
        <f>(E469/D469)*100</f>
        <v>9.1386554621848735</v>
      </c>
    </row>
    <row r="470" spans="1:7" x14ac:dyDescent="0.35">
      <c r="A470" s="2">
        <v>45726</v>
      </c>
      <c r="B470" t="s">
        <v>6</v>
      </c>
      <c r="C470" t="s">
        <v>11</v>
      </c>
      <c r="D470">
        <v>952</v>
      </c>
      <c r="E470">
        <v>9</v>
      </c>
      <c r="F470" t="s">
        <v>49</v>
      </c>
      <c r="G470">
        <f>(E470/D470)*100</f>
        <v>0.94537815126050417</v>
      </c>
    </row>
    <row r="471" spans="1:7" x14ac:dyDescent="0.35">
      <c r="A471" s="2">
        <v>45689</v>
      </c>
      <c r="B471" t="s">
        <v>7</v>
      </c>
      <c r="C471" t="s">
        <v>23</v>
      </c>
      <c r="D471">
        <v>613</v>
      </c>
      <c r="E471">
        <v>6</v>
      </c>
      <c r="F471" t="s">
        <v>49</v>
      </c>
      <c r="G471">
        <f>(E471/D471)*100</f>
        <v>0.97879282218597052</v>
      </c>
    </row>
    <row r="472" spans="1:7" x14ac:dyDescent="0.35">
      <c r="A472" s="2">
        <v>45847</v>
      </c>
      <c r="B472" t="s">
        <v>8</v>
      </c>
      <c r="C472" t="s">
        <v>18</v>
      </c>
      <c r="D472">
        <v>903</v>
      </c>
      <c r="E472">
        <v>9</v>
      </c>
      <c r="F472" t="s">
        <v>49</v>
      </c>
      <c r="G472">
        <f>(E472/D472)*100</f>
        <v>0.99667774086378735</v>
      </c>
    </row>
    <row r="473" spans="1:7" x14ac:dyDescent="0.35">
      <c r="A473" s="2">
        <v>45305</v>
      </c>
      <c r="B473" t="s">
        <v>6</v>
      </c>
      <c r="C473" t="s">
        <v>12</v>
      </c>
      <c r="D473">
        <v>701</v>
      </c>
      <c r="E473">
        <v>7</v>
      </c>
      <c r="F473" t="s">
        <v>49</v>
      </c>
      <c r="G473">
        <f>(E473/D473)*100</f>
        <v>0.99857346647646217</v>
      </c>
    </row>
    <row r="474" spans="1:7" x14ac:dyDescent="0.35">
      <c r="A474" s="2">
        <v>45919</v>
      </c>
      <c r="B474" t="s">
        <v>6</v>
      </c>
      <c r="C474" t="s">
        <v>13</v>
      </c>
      <c r="D474">
        <v>865</v>
      </c>
      <c r="E474">
        <v>10</v>
      </c>
      <c r="F474" t="s">
        <v>49</v>
      </c>
      <c r="G474">
        <f>(E474/D474)*100</f>
        <v>1.1560693641618496</v>
      </c>
    </row>
    <row r="475" spans="1:7" x14ac:dyDescent="0.35">
      <c r="A475" s="2">
        <v>45973</v>
      </c>
      <c r="B475" t="s">
        <v>7</v>
      </c>
      <c r="C475" t="s">
        <v>24</v>
      </c>
      <c r="D475">
        <v>730</v>
      </c>
      <c r="E475">
        <v>12</v>
      </c>
      <c r="F475" t="s">
        <v>49</v>
      </c>
      <c r="G475">
        <f>(E475/D475)*100</f>
        <v>1.6438356164383561</v>
      </c>
    </row>
    <row r="476" spans="1:7" x14ac:dyDescent="0.35">
      <c r="A476" s="2">
        <v>45324</v>
      </c>
      <c r="B476" t="s">
        <v>7</v>
      </c>
      <c r="C476" t="s">
        <v>12</v>
      </c>
      <c r="D476">
        <v>580</v>
      </c>
      <c r="E476">
        <v>15</v>
      </c>
      <c r="F476" t="s">
        <v>49</v>
      </c>
      <c r="G476">
        <f>(E476/D476)*100</f>
        <v>2.5862068965517242</v>
      </c>
    </row>
    <row r="477" spans="1:7" x14ac:dyDescent="0.35">
      <c r="A477" s="2">
        <v>45314</v>
      </c>
      <c r="B477" t="s">
        <v>6</v>
      </c>
      <c r="C477" t="s">
        <v>12</v>
      </c>
      <c r="D477">
        <v>563</v>
      </c>
      <c r="E477">
        <v>16</v>
      </c>
      <c r="F477" t="s">
        <v>49</v>
      </c>
      <c r="G477">
        <f>(E477/D477)*100</f>
        <v>2.8419182948490231</v>
      </c>
    </row>
    <row r="478" spans="1:7" x14ac:dyDescent="0.35">
      <c r="A478" s="2">
        <v>45892</v>
      </c>
      <c r="B478" t="s">
        <v>7</v>
      </c>
      <c r="C478" t="s">
        <v>17</v>
      </c>
      <c r="D478">
        <v>351</v>
      </c>
      <c r="E478">
        <v>10</v>
      </c>
      <c r="F478" t="s">
        <v>49</v>
      </c>
      <c r="G478">
        <f>(E478/D478)*100</f>
        <v>2.8490028490028489</v>
      </c>
    </row>
    <row r="479" spans="1:7" x14ac:dyDescent="0.35">
      <c r="A479" s="2">
        <v>45730</v>
      </c>
      <c r="B479" t="s">
        <v>8</v>
      </c>
      <c r="C479" t="s">
        <v>19</v>
      </c>
      <c r="D479">
        <v>488</v>
      </c>
      <c r="E479">
        <v>14</v>
      </c>
      <c r="F479" t="s">
        <v>49</v>
      </c>
      <c r="G479">
        <f>(E479/D479)*100</f>
        <v>2.8688524590163933</v>
      </c>
    </row>
    <row r="480" spans="1:7" x14ac:dyDescent="0.35">
      <c r="A480" s="2">
        <v>45994</v>
      </c>
      <c r="B480" t="s">
        <v>8</v>
      </c>
      <c r="C480" t="s">
        <v>26</v>
      </c>
      <c r="D480">
        <v>962</v>
      </c>
      <c r="E480">
        <v>28</v>
      </c>
      <c r="F480" t="s">
        <v>49</v>
      </c>
      <c r="G480">
        <f>(E480/D480)*100</f>
        <v>2.9106029106029108</v>
      </c>
    </row>
    <row r="481" spans="1:7" x14ac:dyDescent="0.35">
      <c r="A481" s="2">
        <v>45585</v>
      </c>
      <c r="B481" t="s">
        <v>8</v>
      </c>
      <c r="C481" t="s">
        <v>26</v>
      </c>
      <c r="D481">
        <v>815</v>
      </c>
      <c r="E481">
        <v>27</v>
      </c>
      <c r="F481" t="s">
        <v>49</v>
      </c>
      <c r="G481">
        <f>(E481/D481)*100</f>
        <v>3.3128834355828225</v>
      </c>
    </row>
    <row r="482" spans="1:7" x14ac:dyDescent="0.35">
      <c r="A482" s="2">
        <v>45919</v>
      </c>
      <c r="B482" t="s">
        <v>6</v>
      </c>
      <c r="C482" t="s">
        <v>18</v>
      </c>
      <c r="D482">
        <v>736</v>
      </c>
      <c r="E482">
        <v>26</v>
      </c>
      <c r="F482" t="s">
        <v>49</v>
      </c>
      <c r="G482">
        <f>(E482/D482)*100</f>
        <v>3.5326086956521738</v>
      </c>
    </row>
    <row r="483" spans="1:7" x14ac:dyDescent="0.35">
      <c r="A483" s="2">
        <v>45522</v>
      </c>
      <c r="B483" t="s">
        <v>8</v>
      </c>
      <c r="C483" t="s">
        <v>22</v>
      </c>
      <c r="D483">
        <v>401</v>
      </c>
      <c r="E483">
        <v>18</v>
      </c>
      <c r="F483" t="s">
        <v>49</v>
      </c>
      <c r="G483">
        <f>(E483/D483)*100</f>
        <v>4.4887780548628431</v>
      </c>
    </row>
    <row r="484" spans="1:7" x14ac:dyDescent="0.35">
      <c r="A484" s="2">
        <v>45635</v>
      </c>
      <c r="B484" t="s">
        <v>8</v>
      </c>
      <c r="C484" t="s">
        <v>24</v>
      </c>
      <c r="D484">
        <v>277</v>
      </c>
      <c r="E484">
        <v>13</v>
      </c>
      <c r="F484" t="s">
        <v>49</v>
      </c>
      <c r="G484">
        <f>(E484/D484)*100</f>
        <v>4.6931407942238268</v>
      </c>
    </row>
    <row r="485" spans="1:7" x14ac:dyDescent="0.35">
      <c r="A485" s="2">
        <v>45397</v>
      </c>
      <c r="B485" t="s">
        <v>7</v>
      </c>
      <c r="C485" t="s">
        <v>12</v>
      </c>
      <c r="D485">
        <v>970</v>
      </c>
      <c r="E485">
        <v>54</v>
      </c>
      <c r="F485" t="s">
        <v>49</v>
      </c>
      <c r="G485">
        <f>(E485/D485)*100</f>
        <v>5.5670103092783512</v>
      </c>
    </row>
    <row r="486" spans="1:7" x14ac:dyDescent="0.35">
      <c r="A486" s="2">
        <v>45493</v>
      </c>
      <c r="B486" t="s">
        <v>7</v>
      </c>
      <c r="C486" t="s">
        <v>19</v>
      </c>
      <c r="D486">
        <v>634</v>
      </c>
      <c r="E486">
        <v>42</v>
      </c>
      <c r="F486" t="s">
        <v>49</v>
      </c>
      <c r="G486">
        <f>(E486/D486)*100</f>
        <v>6.624605678233439</v>
      </c>
    </row>
    <row r="487" spans="1:7" x14ac:dyDescent="0.35">
      <c r="A487" s="2">
        <v>45387</v>
      </c>
      <c r="B487" t="s">
        <v>6</v>
      </c>
      <c r="C487" t="s">
        <v>19</v>
      </c>
      <c r="D487">
        <v>344</v>
      </c>
      <c r="E487">
        <v>23</v>
      </c>
      <c r="F487" t="s">
        <v>49</v>
      </c>
      <c r="G487">
        <f>(E487/D487)*100</f>
        <v>6.6860465116279064</v>
      </c>
    </row>
    <row r="488" spans="1:7" x14ac:dyDescent="0.35">
      <c r="A488" s="2">
        <v>45904</v>
      </c>
      <c r="B488" t="s">
        <v>6</v>
      </c>
      <c r="C488" t="s">
        <v>15</v>
      </c>
      <c r="D488">
        <v>699</v>
      </c>
      <c r="E488">
        <v>63</v>
      </c>
      <c r="F488" t="s">
        <v>49</v>
      </c>
      <c r="G488">
        <f>(E488/D488)*100</f>
        <v>9.0128755364806867</v>
      </c>
    </row>
    <row r="489" spans="1:7" x14ac:dyDescent="0.35">
      <c r="A489" s="2">
        <v>45462</v>
      </c>
      <c r="B489" t="s">
        <v>6</v>
      </c>
      <c r="C489" t="s">
        <v>13</v>
      </c>
      <c r="D489">
        <v>619</v>
      </c>
      <c r="E489">
        <v>56</v>
      </c>
      <c r="F489" t="s">
        <v>49</v>
      </c>
      <c r="G489">
        <f>(E489/D489)*100</f>
        <v>9.0468497576736659</v>
      </c>
    </row>
    <row r="490" spans="1:7" x14ac:dyDescent="0.35">
      <c r="A490" s="2">
        <v>45377</v>
      </c>
      <c r="B490" t="s">
        <v>7</v>
      </c>
      <c r="C490" t="s">
        <v>12</v>
      </c>
      <c r="D490">
        <v>501</v>
      </c>
      <c r="E490">
        <v>9</v>
      </c>
      <c r="F490" t="s">
        <v>36</v>
      </c>
      <c r="G490">
        <f>(E490/D490)*100</f>
        <v>1.7964071856287425</v>
      </c>
    </row>
    <row r="491" spans="1:7" x14ac:dyDescent="0.35">
      <c r="A491" s="2">
        <v>45356</v>
      </c>
      <c r="B491" t="s">
        <v>6</v>
      </c>
      <c r="C491" t="s">
        <v>24</v>
      </c>
      <c r="D491">
        <v>891</v>
      </c>
      <c r="E491">
        <v>20</v>
      </c>
      <c r="F491" t="s">
        <v>36</v>
      </c>
      <c r="G491">
        <f>(E491/D491)*100</f>
        <v>2.244668911335578</v>
      </c>
    </row>
    <row r="492" spans="1:7" x14ac:dyDescent="0.35">
      <c r="A492" s="2">
        <v>45441</v>
      </c>
      <c r="B492" t="s">
        <v>8</v>
      </c>
      <c r="C492" t="s">
        <v>13</v>
      </c>
      <c r="D492">
        <v>551</v>
      </c>
      <c r="E492">
        <v>18</v>
      </c>
      <c r="F492" t="s">
        <v>36</v>
      </c>
      <c r="G492">
        <f>(E492/D492)*100</f>
        <v>3.2667876588021776</v>
      </c>
    </row>
    <row r="493" spans="1:7" x14ac:dyDescent="0.35">
      <c r="A493" s="2">
        <v>45691</v>
      </c>
      <c r="B493" t="s">
        <v>6</v>
      </c>
      <c r="C493" t="s">
        <v>28</v>
      </c>
      <c r="D493">
        <v>819</v>
      </c>
      <c r="E493">
        <v>28</v>
      </c>
      <c r="F493" t="s">
        <v>36</v>
      </c>
      <c r="G493">
        <f>(E493/D493)*100</f>
        <v>3.4188034188034191</v>
      </c>
    </row>
    <row r="494" spans="1:7" x14ac:dyDescent="0.35">
      <c r="A494" s="2">
        <v>45838</v>
      </c>
      <c r="B494" t="s">
        <v>7</v>
      </c>
      <c r="C494" t="s">
        <v>21</v>
      </c>
      <c r="D494">
        <v>710</v>
      </c>
      <c r="E494">
        <v>31</v>
      </c>
      <c r="F494" t="s">
        <v>36</v>
      </c>
      <c r="G494">
        <f>(E494/D494)*100</f>
        <v>4.3661971830985911</v>
      </c>
    </row>
    <row r="495" spans="1:7" x14ac:dyDescent="0.35">
      <c r="A495" s="2">
        <v>45899</v>
      </c>
      <c r="B495" t="s">
        <v>8</v>
      </c>
      <c r="C495" t="s">
        <v>25</v>
      </c>
      <c r="D495">
        <v>642</v>
      </c>
      <c r="E495">
        <v>30</v>
      </c>
      <c r="F495" t="s">
        <v>36</v>
      </c>
      <c r="G495">
        <f>(E495/D495)*100</f>
        <v>4.6728971962616823</v>
      </c>
    </row>
    <row r="496" spans="1:7" x14ac:dyDescent="0.35">
      <c r="A496" s="2">
        <v>45506</v>
      </c>
      <c r="B496" t="s">
        <v>6</v>
      </c>
      <c r="C496" t="s">
        <v>13</v>
      </c>
      <c r="D496">
        <v>656</v>
      </c>
      <c r="E496">
        <v>34</v>
      </c>
      <c r="F496" t="s">
        <v>36</v>
      </c>
      <c r="G496">
        <f>(E496/D496)*100</f>
        <v>5.1829268292682924</v>
      </c>
    </row>
    <row r="497" spans="1:7" x14ac:dyDescent="0.35">
      <c r="A497" s="2">
        <v>45349</v>
      </c>
      <c r="B497" t="s">
        <v>6</v>
      </c>
      <c r="C497" t="s">
        <v>23</v>
      </c>
      <c r="D497">
        <v>511</v>
      </c>
      <c r="E497">
        <v>27</v>
      </c>
      <c r="F497" t="s">
        <v>36</v>
      </c>
      <c r="G497">
        <f>(E497/D497)*100</f>
        <v>5.283757338551859</v>
      </c>
    </row>
    <row r="498" spans="1:7" x14ac:dyDescent="0.35">
      <c r="A498" s="2">
        <v>46016</v>
      </c>
      <c r="B498" t="s">
        <v>6</v>
      </c>
      <c r="C498" t="s">
        <v>26</v>
      </c>
      <c r="D498">
        <v>559</v>
      </c>
      <c r="E498">
        <v>31</v>
      </c>
      <c r="F498" t="s">
        <v>36</v>
      </c>
      <c r="G498">
        <f>(E498/D498)*100</f>
        <v>5.5456171735241506</v>
      </c>
    </row>
    <row r="499" spans="1:7" x14ac:dyDescent="0.35">
      <c r="A499" s="2">
        <v>45856</v>
      </c>
      <c r="B499" t="s">
        <v>6</v>
      </c>
      <c r="C499" t="s">
        <v>25</v>
      </c>
      <c r="D499">
        <v>455</v>
      </c>
      <c r="E499">
        <v>28</v>
      </c>
      <c r="F499" t="s">
        <v>36</v>
      </c>
      <c r="G499">
        <f>(E499/D499)*100</f>
        <v>6.1538461538461542</v>
      </c>
    </row>
    <row r="500" spans="1:7" x14ac:dyDescent="0.35">
      <c r="A500" s="2">
        <v>45627</v>
      </c>
      <c r="B500" t="s">
        <v>8</v>
      </c>
      <c r="C500" t="s">
        <v>25</v>
      </c>
      <c r="D500">
        <v>877</v>
      </c>
      <c r="E500">
        <v>54</v>
      </c>
      <c r="F500" t="s">
        <v>36</v>
      </c>
      <c r="G500">
        <f>(E500/D500)*100</f>
        <v>6.1573546180159635</v>
      </c>
    </row>
    <row r="501" spans="1:7" x14ac:dyDescent="0.35">
      <c r="A501" s="2">
        <v>46021</v>
      </c>
      <c r="B501" t="s">
        <v>6</v>
      </c>
      <c r="C501" t="s">
        <v>15</v>
      </c>
      <c r="D501">
        <v>777</v>
      </c>
      <c r="E501">
        <v>64</v>
      </c>
      <c r="F501" t="s">
        <v>36</v>
      </c>
      <c r="G501">
        <f>(E501/D501)*100</f>
        <v>8.2368082368082369</v>
      </c>
    </row>
  </sheetData>
  <sortState xmlns:xlrd2="http://schemas.microsoft.com/office/spreadsheetml/2017/richdata2" ref="J24:K55">
    <sortCondition ref="K24:K55"/>
  </sortState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01A9-380D-47B6-9A67-B899FB369B8A}">
  <dimension ref="A3:B24"/>
  <sheetViews>
    <sheetView topLeftCell="D1" workbookViewId="0">
      <selection activeCell="E21" sqref="E21"/>
    </sheetView>
  </sheetViews>
  <sheetFormatPr defaultRowHeight="14.5" x14ac:dyDescent="0.35"/>
  <cols>
    <col min="1" max="1" width="12.36328125" bestFit="1" customWidth="1"/>
    <col min="2" max="2" width="28.08984375" bestFit="1" customWidth="1"/>
  </cols>
  <sheetData>
    <row r="3" spans="1:2" x14ac:dyDescent="0.35">
      <c r="A3" s="4" t="s">
        <v>65</v>
      </c>
      <c r="B3" t="s">
        <v>67</v>
      </c>
    </row>
    <row r="4" spans="1:2" x14ac:dyDescent="0.35">
      <c r="A4" s="5" t="s">
        <v>9</v>
      </c>
      <c r="B4" s="6">
        <v>3.3642796478539885</v>
      </c>
    </row>
    <row r="5" spans="1:2" x14ac:dyDescent="0.35">
      <c r="A5" s="5" t="s">
        <v>28</v>
      </c>
      <c r="B5" s="6">
        <v>4.7112171578903457</v>
      </c>
    </row>
    <row r="6" spans="1:2" x14ac:dyDescent="0.35">
      <c r="A6" s="5" t="s">
        <v>24</v>
      </c>
      <c r="B6" s="6">
        <v>4.0444054693341069</v>
      </c>
    </row>
    <row r="7" spans="1:2" x14ac:dyDescent="0.35">
      <c r="A7" s="5" t="s">
        <v>21</v>
      </c>
      <c r="B7" s="6">
        <v>4.901916506125179</v>
      </c>
    </row>
    <row r="8" spans="1:2" x14ac:dyDescent="0.35">
      <c r="A8" s="5" t="s">
        <v>27</v>
      </c>
      <c r="B8" s="6">
        <v>4.8074831448076765</v>
      </c>
    </row>
    <row r="9" spans="1:2" x14ac:dyDescent="0.35">
      <c r="A9" s="5" t="s">
        <v>25</v>
      </c>
      <c r="B9" s="6">
        <v>5.1251723373497331</v>
      </c>
    </row>
    <row r="10" spans="1:2" x14ac:dyDescent="0.35">
      <c r="A10" s="5" t="s">
        <v>15</v>
      </c>
      <c r="B10" s="6">
        <v>4.6163739792234084</v>
      </c>
    </row>
    <row r="11" spans="1:2" x14ac:dyDescent="0.35">
      <c r="A11" s="5" t="s">
        <v>22</v>
      </c>
      <c r="B11" s="6">
        <v>3.9928669736982871</v>
      </c>
    </row>
    <row r="12" spans="1:2" x14ac:dyDescent="0.35">
      <c r="A12" s="5" t="s">
        <v>11</v>
      </c>
      <c r="B12" s="6">
        <v>4.2841183004866563</v>
      </c>
    </row>
    <row r="13" spans="1:2" x14ac:dyDescent="0.35">
      <c r="A13" s="5" t="s">
        <v>26</v>
      </c>
      <c r="B13" s="6">
        <v>4.3342788316325809</v>
      </c>
    </row>
    <row r="14" spans="1:2" x14ac:dyDescent="0.35">
      <c r="A14" s="5" t="s">
        <v>20</v>
      </c>
      <c r="B14" s="6">
        <v>4.4641655973593695</v>
      </c>
    </row>
    <row r="15" spans="1:2" x14ac:dyDescent="0.35">
      <c r="A15" s="5" t="s">
        <v>13</v>
      </c>
      <c r="B15" s="6">
        <v>4.8993408406775165</v>
      </c>
    </row>
    <row r="16" spans="1:2" x14ac:dyDescent="0.35">
      <c r="A16" s="5" t="s">
        <v>16</v>
      </c>
      <c r="B16" s="6">
        <v>4.8000220289565974</v>
      </c>
    </row>
    <row r="17" spans="1:2" x14ac:dyDescent="0.35">
      <c r="A17" s="5" t="s">
        <v>10</v>
      </c>
      <c r="B17" s="6">
        <v>4.7101885958524132</v>
      </c>
    </row>
    <row r="18" spans="1:2" x14ac:dyDescent="0.35">
      <c r="A18" s="5" t="s">
        <v>23</v>
      </c>
      <c r="B18" s="6">
        <v>4.8554119876406805</v>
      </c>
    </row>
    <row r="19" spans="1:2" x14ac:dyDescent="0.35">
      <c r="A19" s="5" t="s">
        <v>14</v>
      </c>
      <c r="B19" s="6">
        <v>4.2928591313907551</v>
      </c>
    </row>
    <row r="20" spans="1:2" x14ac:dyDescent="0.35">
      <c r="A20" s="5" t="s">
        <v>17</v>
      </c>
      <c r="B20" s="6">
        <v>4.1553132920545393</v>
      </c>
    </row>
    <row r="21" spans="1:2" x14ac:dyDescent="0.35">
      <c r="A21" s="5" t="s">
        <v>19</v>
      </c>
      <c r="B21" s="6">
        <v>3.8716132636576339</v>
      </c>
    </row>
    <row r="22" spans="1:2" x14ac:dyDescent="0.35">
      <c r="A22" s="5" t="s">
        <v>12</v>
      </c>
      <c r="B22" s="6">
        <v>3.8517923750583405</v>
      </c>
    </row>
    <row r="23" spans="1:2" x14ac:dyDescent="0.35">
      <c r="A23" s="5" t="s">
        <v>18</v>
      </c>
      <c r="B23" s="6">
        <v>4.4411666338166462</v>
      </c>
    </row>
    <row r="24" spans="1:2" x14ac:dyDescent="0.35">
      <c r="A24" s="5" t="s">
        <v>66</v>
      </c>
      <c r="B24" s="6">
        <v>4.4219146284318001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26E4-A08C-41AB-99AC-07CC5A90B841}">
  <dimension ref="A1:E32"/>
  <sheetViews>
    <sheetView topLeftCell="B1" zoomScale="118" workbookViewId="0">
      <selection activeCell="E21" sqref="E21"/>
    </sheetView>
  </sheetViews>
  <sheetFormatPr defaultRowHeight="14.5" x14ac:dyDescent="0.35"/>
  <cols>
    <col min="1" max="1" width="12.36328125" bestFit="1" customWidth="1"/>
    <col min="2" max="2" width="28.08984375" bestFit="1" customWidth="1"/>
  </cols>
  <sheetData>
    <row r="1" spans="1:2" x14ac:dyDescent="0.35">
      <c r="A1" s="4" t="s">
        <v>65</v>
      </c>
      <c r="B1" t="s">
        <v>67</v>
      </c>
    </row>
    <row r="2" spans="1:2" x14ac:dyDescent="0.35">
      <c r="A2" s="5" t="s">
        <v>41</v>
      </c>
      <c r="B2" s="10">
        <v>5.0499267312432758</v>
      </c>
    </row>
    <row r="3" spans="1:2" x14ac:dyDescent="0.35">
      <c r="A3" s="5" t="s">
        <v>57</v>
      </c>
      <c r="B3" s="10">
        <v>3.7922449759800503</v>
      </c>
    </row>
    <row r="4" spans="1:2" x14ac:dyDescent="0.35">
      <c r="A4" s="5" t="s">
        <v>54</v>
      </c>
      <c r="B4" s="10">
        <v>4.7926584653856157</v>
      </c>
    </row>
    <row r="5" spans="1:2" x14ac:dyDescent="0.35">
      <c r="A5" s="5" t="s">
        <v>58</v>
      </c>
      <c r="B5" s="10">
        <v>4.0062175303044887</v>
      </c>
    </row>
    <row r="6" spans="1:2" x14ac:dyDescent="0.35">
      <c r="A6" s="5" t="s">
        <v>56</v>
      </c>
      <c r="B6" s="10">
        <v>4.8488523017188037</v>
      </c>
    </row>
    <row r="7" spans="1:2" x14ac:dyDescent="0.35">
      <c r="A7" s="5" t="s">
        <v>31</v>
      </c>
      <c r="B7" s="10">
        <v>4.5437653064202035</v>
      </c>
    </row>
    <row r="8" spans="1:2" x14ac:dyDescent="0.35">
      <c r="A8" s="5" t="s">
        <v>40</v>
      </c>
      <c r="B8" s="10">
        <v>4.4196195588547313</v>
      </c>
    </row>
    <row r="9" spans="1:2" x14ac:dyDescent="0.35">
      <c r="A9" s="5" t="s">
        <v>55</v>
      </c>
      <c r="B9" s="10">
        <v>4.9459110439750305</v>
      </c>
    </row>
    <row r="10" spans="1:2" x14ac:dyDescent="0.35">
      <c r="A10" s="5" t="s">
        <v>47</v>
      </c>
      <c r="B10" s="10">
        <v>4.4361154935923164</v>
      </c>
    </row>
    <row r="11" spans="1:2" x14ac:dyDescent="0.35">
      <c r="A11" s="5" t="s">
        <v>51</v>
      </c>
      <c r="B11" s="10">
        <v>3.3166627561550333</v>
      </c>
    </row>
    <row r="12" spans="1:2" x14ac:dyDescent="0.35">
      <c r="A12" s="5" t="s">
        <v>44</v>
      </c>
      <c r="B12" s="10">
        <v>3.9467402809707837</v>
      </c>
    </row>
    <row r="13" spans="1:2" x14ac:dyDescent="0.35">
      <c r="A13" s="5" t="s">
        <v>43</v>
      </c>
      <c r="B13" s="10">
        <v>4.3188474796253962</v>
      </c>
    </row>
    <row r="14" spans="1:2" x14ac:dyDescent="0.35">
      <c r="A14" s="5" t="s">
        <v>48</v>
      </c>
      <c r="B14" s="10">
        <v>4.3581106545456674</v>
      </c>
    </row>
    <row r="15" spans="1:2" x14ac:dyDescent="0.35">
      <c r="A15" s="5" t="s">
        <v>32</v>
      </c>
      <c r="B15" s="10">
        <v>4.3586143961731354</v>
      </c>
    </row>
    <row r="16" spans="1:2" x14ac:dyDescent="0.35">
      <c r="A16" s="5" t="s">
        <v>50</v>
      </c>
      <c r="B16" s="10">
        <v>5.0005493009475881</v>
      </c>
    </row>
    <row r="17" spans="1:5" x14ac:dyDescent="0.35">
      <c r="A17" s="5" t="s">
        <v>52</v>
      </c>
      <c r="B17" s="10">
        <v>4.0269189606307272</v>
      </c>
    </row>
    <row r="18" spans="1:5" x14ac:dyDescent="0.35">
      <c r="A18" s="5" t="s">
        <v>46</v>
      </c>
      <c r="B18" s="10">
        <v>4.9900658433700134</v>
      </c>
    </row>
    <row r="19" spans="1:5" x14ac:dyDescent="0.35">
      <c r="A19" s="5" t="s">
        <v>29</v>
      </c>
      <c r="B19" s="10">
        <v>4.4083272466300389</v>
      </c>
    </row>
    <row r="20" spans="1:5" x14ac:dyDescent="0.35">
      <c r="A20" s="5" t="s">
        <v>53</v>
      </c>
      <c r="B20" s="10">
        <v>3.9476915683697329</v>
      </c>
      <c r="E20" t="s">
        <v>95</v>
      </c>
    </row>
    <row r="21" spans="1:5" x14ac:dyDescent="0.35">
      <c r="A21" s="5" t="s">
        <v>34</v>
      </c>
      <c r="B21" s="10">
        <v>4.2741410303452287</v>
      </c>
    </row>
    <row r="22" spans="1:5" x14ac:dyDescent="0.35">
      <c r="A22" s="5" t="s">
        <v>39</v>
      </c>
      <c r="B22" s="10">
        <v>4.2112280287937214</v>
      </c>
    </row>
    <row r="23" spans="1:5" x14ac:dyDescent="0.35">
      <c r="A23" s="5" t="s">
        <v>33</v>
      </c>
      <c r="B23" s="10">
        <v>4.8893145590206331</v>
      </c>
    </row>
    <row r="24" spans="1:5" x14ac:dyDescent="0.35">
      <c r="A24" s="5" t="s">
        <v>45</v>
      </c>
      <c r="B24" s="10">
        <v>4.6192548093960024</v>
      </c>
    </row>
    <row r="25" spans="1:5" x14ac:dyDescent="0.35">
      <c r="A25" s="5" t="s">
        <v>37</v>
      </c>
      <c r="B25" s="10">
        <v>4.2645266345827464</v>
      </c>
    </row>
    <row r="26" spans="1:5" x14ac:dyDescent="0.35">
      <c r="A26" s="5" t="s">
        <v>30</v>
      </c>
      <c r="B26" s="10">
        <v>4.838621790229336</v>
      </c>
    </row>
    <row r="27" spans="1:5" x14ac:dyDescent="0.35">
      <c r="A27" s="5" t="s">
        <v>35</v>
      </c>
      <c r="B27" s="10">
        <v>3.9809901753649126</v>
      </c>
    </row>
    <row r="28" spans="1:5" x14ac:dyDescent="0.35">
      <c r="A28" s="5" t="s">
        <v>38</v>
      </c>
      <c r="B28" s="10">
        <v>4.4232986616352843</v>
      </c>
    </row>
    <row r="29" spans="1:5" x14ac:dyDescent="0.35">
      <c r="A29" s="5" t="s">
        <v>42</v>
      </c>
      <c r="B29" s="10">
        <v>5.2452801038555874</v>
      </c>
    </row>
    <row r="30" spans="1:5" x14ac:dyDescent="0.35">
      <c r="A30" s="5" t="s">
        <v>49</v>
      </c>
      <c r="B30" s="10">
        <v>3.6870354672512766</v>
      </c>
    </row>
    <row r="31" spans="1:5" x14ac:dyDescent="0.35">
      <c r="A31" s="5" t="s">
        <v>36</v>
      </c>
      <c r="B31" s="10">
        <v>4.6938393253287378</v>
      </c>
    </row>
    <row r="32" spans="1:5" x14ac:dyDescent="0.35">
      <c r="A32" s="5" t="s">
        <v>66</v>
      </c>
      <c r="B32" s="10">
        <v>4.4219146284317992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F490-0970-4276-805A-C7599A796603}">
  <dimension ref="A1:B382"/>
  <sheetViews>
    <sheetView tabSelected="1" zoomScale="46" workbookViewId="0">
      <selection activeCell="AF17" sqref="AF17"/>
    </sheetView>
  </sheetViews>
  <sheetFormatPr defaultRowHeight="14.5" x14ac:dyDescent="0.35"/>
  <cols>
    <col min="1" max="1" width="25.7265625" bestFit="1" customWidth="1"/>
    <col min="2" max="2" width="29.453125" bestFit="1" customWidth="1"/>
  </cols>
  <sheetData>
    <row r="1" spans="1:2" x14ac:dyDescent="0.35">
      <c r="A1" s="4" t="s">
        <v>65</v>
      </c>
      <c r="B1" t="s">
        <v>67</v>
      </c>
    </row>
    <row r="2" spans="1:2" x14ac:dyDescent="0.35">
      <c r="A2" s="5" t="s">
        <v>74</v>
      </c>
      <c r="B2" s="10">
        <v>4.5023951167628873</v>
      </c>
    </row>
    <row r="3" spans="1:2" x14ac:dyDescent="0.35">
      <c r="A3" s="11" t="s">
        <v>76</v>
      </c>
      <c r="B3" s="10">
        <v>4.4048097083983198</v>
      </c>
    </row>
    <row r="4" spans="1:2" x14ac:dyDescent="0.35">
      <c r="A4" s="12" t="s">
        <v>80</v>
      </c>
      <c r="B4" s="10">
        <v>4.8470175726716969</v>
      </c>
    </row>
    <row r="5" spans="1:2" x14ac:dyDescent="0.35">
      <c r="A5" s="14">
        <v>45293</v>
      </c>
      <c r="B5" s="10">
        <v>8.623881077410223</v>
      </c>
    </row>
    <row r="6" spans="1:2" x14ac:dyDescent="0.35">
      <c r="A6" s="14">
        <v>45296</v>
      </c>
      <c r="B6" s="10">
        <v>4.9393118453891933</v>
      </c>
    </row>
    <row r="7" spans="1:2" x14ac:dyDescent="0.35">
      <c r="A7" s="14">
        <v>45300</v>
      </c>
      <c r="B7" s="10">
        <v>9.1386554621848735</v>
      </c>
    </row>
    <row r="8" spans="1:2" x14ac:dyDescent="0.35">
      <c r="A8" s="14">
        <v>45305</v>
      </c>
      <c r="B8" s="10">
        <v>0.99857346647646217</v>
      </c>
    </row>
    <row r="9" spans="1:2" x14ac:dyDescent="0.35">
      <c r="A9" s="14">
        <v>45306</v>
      </c>
      <c r="B9" s="10">
        <v>3.4260305672155851</v>
      </c>
    </row>
    <row r="10" spans="1:2" x14ac:dyDescent="0.35">
      <c r="A10" s="14">
        <v>45307</v>
      </c>
      <c r="B10" s="10">
        <v>4.2089985486211905</v>
      </c>
    </row>
    <row r="11" spans="1:2" x14ac:dyDescent="0.35">
      <c r="A11" s="14">
        <v>45308</v>
      </c>
      <c r="B11" s="10">
        <v>3.2876712328767121</v>
      </c>
    </row>
    <row r="12" spans="1:2" x14ac:dyDescent="0.35">
      <c r="A12" s="14">
        <v>45309</v>
      </c>
      <c r="B12" s="10">
        <v>1.4251781472684086</v>
      </c>
    </row>
    <row r="13" spans="1:2" x14ac:dyDescent="0.35">
      <c r="A13" s="14">
        <v>45311</v>
      </c>
      <c r="B13" s="10">
        <v>1.2422360248447204</v>
      </c>
    </row>
    <row r="14" spans="1:2" x14ac:dyDescent="0.35">
      <c r="A14" s="14">
        <v>45312</v>
      </c>
      <c r="B14" s="10">
        <v>4.5729602702504222</v>
      </c>
    </row>
    <row r="15" spans="1:2" x14ac:dyDescent="0.35">
      <c r="A15" s="14">
        <v>45313</v>
      </c>
      <c r="B15" s="10">
        <v>4.6229182322852775</v>
      </c>
    </row>
    <row r="16" spans="1:2" x14ac:dyDescent="0.35">
      <c r="A16" s="14">
        <v>45314</v>
      </c>
      <c r="B16" s="10">
        <v>2.8419182948490231</v>
      </c>
    </row>
    <row r="17" spans="1:2" x14ac:dyDescent="0.35">
      <c r="A17" s="14">
        <v>45318</v>
      </c>
      <c r="B17" s="10">
        <v>6.149193548387097</v>
      </c>
    </row>
    <row r="18" spans="1:2" x14ac:dyDescent="0.35">
      <c r="A18" s="14">
        <v>45319</v>
      </c>
      <c r="B18" s="10">
        <v>5.750429619042758</v>
      </c>
    </row>
    <row r="19" spans="1:2" x14ac:dyDescent="0.35">
      <c r="A19" s="12" t="s">
        <v>81</v>
      </c>
      <c r="B19" s="10">
        <v>4.2416746917606165</v>
      </c>
    </row>
    <row r="20" spans="1:2" x14ac:dyDescent="0.35">
      <c r="A20" s="14">
        <v>45324</v>
      </c>
      <c r="B20" s="10">
        <v>4.2136641959394137</v>
      </c>
    </row>
    <row r="21" spans="1:2" x14ac:dyDescent="0.35">
      <c r="A21" s="14">
        <v>45326</v>
      </c>
      <c r="B21" s="10">
        <v>5.8577405857740583</v>
      </c>
    </row>
    <row r="22" spans="1:2" x14ac:dyDescent="0.35">
      <c r="A22" s="14">
        <v>45327</v>
      </c>
      <c r="B22" s="10">
        <v>5.0318904224173986</v>
      </c>
    </row>
    <row r="23" spans="1:2" x14ac:dyDescent="0.35">
      <c r="A23" s="14">
        <v>45328</v>
      </c>
      <c r="B23" s="10">
        <v>3.4312204873677317</v>
      </c>
    </row>
    <row r="24" spans="1:2" x14ac:dyDescent="0.35">
      <c r="A24" s="14">
        <v>45329</v>
      </c>
      <c r="B24" s="10">
        <v>3.6474164133738598</v>
      </c>
    </row>
    <row r="25" spans="1:2" x14ac:dyDescent="0.35">
      <c r="A25" s="14">
        <v>45330</v>
      </c>
      <c r="B25" s="10">
        <v>5.3527980535279802</v>
      </c>
    </row>
    <row r="26" spans="1:2" x14ac:dyDescent="0.35">
      <c r="A26" s="14">
        <v>45332</v>
      </c>
      <c r="B26" s="10">
        <v>2.552664901577069</v>
      </c>
    </row>
    <row r="27" spans="1:2" x14ac:dyDescent="0.35">
      <c r="A27" s="14">
        <v>45337</v>
      </c>
      <c r="B27" s="10">
        <v>3.1746031746031744</v>
      </c>
    </row>
    <row r="28" spans="1:2" x14ac:dyDescent="0.35">
      <c r="A28" s="14">
        <v>45338</v>
      </c>
      <c r="B28" s="10">
        <v>3.5176377328577093</v>
      </c>
    </row>
    <row r="29" spans="1:2" x14ac:dyDescent="0.35">
      <c r="A29" s="14">
        <v>45339</v>
      </c>
      <c r="B29" s="10">
        <v>6.1420345489443378</v>
      </c>
    </row>
    <row r="30" spans="1:2" x14ac:dyDescent="0.35">
      <c r="A30" s="14">
        <v>45340</v>
      </c>
      <c r="B30" s="10">
        <v>0.76086956521739135</v>
      </c>
    </row>
    <row r="31" spans="1:2" x14ac:dyDescent="0.35">
      <c r="A31" s="14">
        <v>45342</v>
      </c>
      <c r="B31" s="10">
        <v>8.1188118811881189</v>
      </c>
    </row>
    <row r="32" spans="1:2" x14ac:dyDescent="0.35">
      <c r="A32" s="14">
        <v>45344</v>
      </c>
      <c r="B32" s="10">
        <v>5.648761675806977</v>
      </c>
    </row>
    <row r="33" spans="1:2" x14ac:dyDescent="0.35">
      <c r="A33" s="14">
        <v>45345</v>
      </c>
      <c r="B33" s="10">
        <v>2.6671229350928911</v>
      </c>
    </row>
    <row r="34" spans="1:2" x14ac:dyDescent="0.35">
      <c r="A34" s="14">
        <v>45349</v>
      </c>
      <c r="B34" s="10">
        <v>3.8183492575112234</v>
      </c>
    </row>
    <row r="35" spans="1:2" x14ac:dyDescent="0.35">
      <c r="A35" s="14">
        <v>45350</v>
      </c>
      <c r="B35" s="10">
        <v>5.5762081784386615</v>
      </c>
    </row>
    <row r="36" spans="1:2" x14ac:dyDescent="0.35">
      <c r="A36" s="12" t="s">
        <v>82</v>
      </c>
      <c r="B36" s="10">
        <v>3.8840107350184896</v>
      </c>
    </row>
    <row r="37" spans="1:2" x14ac:dyDescent="0.35">
      <c r="A37" s="14">
        <v>45354</v>
      </c>
      <c r="B37" s="10">
        <v>2.8784648187633262</v>
      </c>
    </row>
    <row r="38" spans="1:2" x14ac:dyDescent="0.35">
      <c r="A38" s="14">
        <v>45356</v>
      </c>
      <c r="B38" s="10">
        <v>2.244668911335578</v>
      </c>
    </row>
    <row r="39" spans="1:2" x14ac:dyDescent="0.35">
      <c r="A39" s="14">
        <v>45360</v>
      </c>
      <c r="B39" s="10">
        <v>5.1282051282051277</v>
      </c>
    </row>
    <row r="40" spans="1:2" x14ac:dyDescent="0.35">
      <c r="A40" s="14">
        <v>45363</v>
      </c>
      <c r="B40" s="10">
        <v>1.7699115044247788</v>
      </c>
    </row>
    <row r="41" spans="1:2" x14ac:dyDescent="0.35">
      <c r="A41" s="14">
        <v>45367</v>
      </c>
      <c r="B41" s="10">
        <v>0.98870056497175152</v>
      </c>
    </row>
    <row r="42" spans="1:2" x14ac:dyDescent="0.35">
      <c r="A42" s="14">
        <v>45372</v>
      </c>
      <c r="B42" s="10">
        <v>7.7129012925039291</v>
      </c>
    </row>
    <row r="43" spans="1:2" x14ac:dyDescent="0.35">
      <c r="A43" s="14">
        <v>45377</v>
      </c>
      <c r="B43" s="10">
        <v>3.9309904780602727</v>
      </c>
    </row>
    <row r="44" spans="1:2" x14ac:dyDescent="0.35">
      <c r="A44" s="14">
        <v>45379</v>
      </c>
      <c r="B44" s="10">
        <v>2.5423728813559325</v>
      </c>
    </row>
    <row r="45" spans="1:2" x14ac:dyDescent="0.35">
      <c r="A45" s="11" t="s">
        <v>77</v>
      </c>
      <c r="B45" s="10">
        <v>4.6532266697081779</v>
      </c>
    </row>
    <row r="46" spans="1:2" x14ac:dyDescent="0.35">
      <c r="A46" s="12" t="s">
        <v>83</v>
      </c>
      <c r="B46" s="10">
        <v>5.0749760847542218</v>
      </c>
    </row>
    <row r="47" spans="1:2" x14ac:dyDescent="0.35">
      <c r="A47" s="14">
        <v>45383</v>
      </c>
      <c r="B47" s="10">
        <v>2.0179738562091503</v>
      </c>
    </row>
    <row r="48" spans="1:2" x14ac:dyDescent="0.35">
      <c r="A48" s="14">
        <v>45385</v>
      </c>
      <c r="B48" s="10">
        <v>5.8495821727019495</v>
      </c>
    </row>
    <row r="49" spans="1:2" x14ac:dyDescent="0.35">
      <c r="A49" s="14">
        <v>45387</v>
      </c>
      <c r="B49" s="10">
        <v>7.3667699576609191</v>
      </c>
    </row>
    <row r="50" spans="1:2" x14ac:dyDescent="0.35">
      <c r="A50" s="14">
        <v>45390</v>
      </c>
      <c r="B50" s="10">
        <v>4.8051417502894171</v>
      </c>
    </row>
    <row r="51" spans="1:2" x14ac:dyDescent="0.35">
      <c r="A51" s="14">
        <v>45391</v>
      </c>
      <c r="B51" s="10">
        <v>6.046007413005146</v>
      </c>
    </row>
    <row r="52" spans="1:2" x14ac:dyDescent="0.35">
      <c r="A52" s="14">
        <v>45394</v>
      </c>
      <c r="B52" s="10">
        <v>3.6115765954475636</v>
      </c>
    </row>
    <row r="53" spans="1:2" x14ac:dyDescent="0.35">
      <c r="A53" s="14">
        <v>45395</v>
      </c>
      <c r="B53" s="10">
        <v>6.7241483420695349</v>
      </c>
    </row>
    <row r="54" spans="1:2" x14ac:dyDescent="0.35">
      <c r="A54" s="14">
        <v>45397</v>
      </c>
      <c r="B54" s="10">
        <v>5.2685946178598515</v>
      </c>
    </row>
    <row r="55" spans="1:2" x14ac:dyDescent="0.35">
      <c r="A55" s="14">
        <v>45398</v>
      </c>
      <c r="B55" s="10">
        <v>2.1812080536912752</v>
      </c>
    </row>
    <row r="56" spans="1:2" x14ac:dyDescent="0.35">
      <c r="A56" s="14">
        <v>45403</v>
      </c>
      <c r="B56" s="10">
        <v>6.7289719626168223</v>
      </c>
    </row>
    <row r="57" spans="1:2" x14ac:dyDescent="0.35">
      <c r="A57" s="14">
        <v>45404</v>
      </c>
      <c r="B57" s="10">
        <v>5.659680582828245</v>
      </c>
    </row>
    <row r="58" spans="1:2" x14ac:dyDescent="0.35">
      <c r="A58" s="14">
        <v>45407</v>
      </c>
      <c r="B58" s="10">
        <v>0.93896713615023475</v>
      </c>
    </row>
    <row r="59" spans="1:2" x14ac:dyDescent="0.35">
      <c r="A59" s="14">
        <v>45408</v>
      </c>
      <c r="B59" s="10">
        <v>5.9016393442622954</v>
      </c>
    </row>
    <row r="60" spans="1:2" x14ac:dyDescent="0.35">
      <c r="A60" s="14">
        <v>45409</v>
      </c>
      <c r="B60" s="10">
        <v>2.2222222222222223</v>
      </c>
    </row>
    <row r="61" spans="1:2" x14ac:dyDescent="0.35">
      <c r="A61" s="14">
        <v>45411</v>
      </c>
      <c r="B61" s="10">
        <v>7.6009237085186454</v>
      </c>
    </row>
    <row r="62" spans="1:2" x14ac:dyDescent="0.35">
      <c r="A62" s="12" t="s">
        <v>84</v>
      </c>
      <c r="B62" s="10">
        <v>4.0211839597800623</v>
      </c>
    </row>
    <row r="63" spans="1:2" x14ac:dyDescent="0.35">
      <c r="A63" s="14">
        <v>45413</v>
      </c>
      <c r="B63" s="10">
        <v>8.0291970802919703</v>
      </c>
    </row>
    <row r="64" spans="1:2" x14ac:dyDescent="0.35">
      <c r="A64" s="14">
        <v>45414</v>
      </c>
      <c r="B64" s="10">
        <v>3.6827195467422094</v>
      </c>
    </row>
    <row r="65" spans="1:2" x14ac:dyDescent="0.35">
      <c r="A65" s="14">
        <v>45415</v>
      </c>
      <c r="B65" s="10">
        <v>7.8804347826086962</v>
      </c>
    </row>
    <row r="66" spans="1:2" x14ac:dyDescent="0.35">
      <c r="A66" s="14">
        <v>45416</v>
      </c>
      <c r="B66" s="10">
        <v>1.6666666666666667</v>
      </c>
    </row>
    <row r="67" spans="1:2" x14ac:dyDescent="0.35">
      <c r="A67" s="14">
        <v>45418</v>
      </c>
      <c r="B67" s="10">
        <v>2.9187817258883251</v>
      </c>
    </row>
    <row r="68" spans="1:2" x14ac:dyDescent="0.35">
      <c r="A68" s="14">
        <v>45419</v>
      </c>
      <c r="B68" s="10">
        <v>10.160427807486631</v>
      </c>
    </row>
    <row r="69" spans="1:2" x14ac:dyDescent="0.35">
      <c r="A69" s="14">
        <v>45420</v>
      </c>
      <c r="B69" s="10">
        <v>1.5172413793103448</v>
      </c>
    </row>
    <row r="70" spans="1:2" x14ac:dyDescent="0.35">
      <c r="A70" s="14">
        <v>45421</v>
      </c>
      <c r="B70" s="10">
        <v>5.9633027522935782</v>
      </c>
    </row>
    <row r="71" spans="1:2" x14ac:dyDescent="0.35">
      <c r="A71" s="14">
        <v>45422</v>
      </c>
      <c r="B71" s="10">
        <v>3.3595574709588676</v>
      </c>
    </row>
    <row r="72" spans="1:2" x14ac:dyDescent="0.35">
      <c r="A72" s="14">
        <v>45426</v>
      </c>
      <c r="B72" s="10">
        <v>2.126839444028751</v>
      </c>
    </row>
    <row r="73" spans="1:2" x14ac:dyDescent="0.35">
      <c r="A73" s="14">
        <v>45430</v>
      </c>
      <c r="B73" s="10">
        <v>2.5301204819277108</v>
      </c>
    </row>
    <row r="74" spans="1:2" x14ac:dyDescent="0.35">
      <c r="A74" s="14">
        <v>45434</v>
      </c>
      <c r="B74" s="10">
        <v>5.1282051282051277</v>
      </c>
    </row>
    <row r="75" spans="1:2" x14ac:dyDescent="0.35">
      <c r="A75" s="14">
        <v>45435</v>
      </c>
      <c r="B75" s="10">
        <v>3.6318901840228852</v>
      </c>
    </row>
    <row r="76" spans="1:2" x14ac:dyDescent="0.35">
      <c r="A76" s="14">
        <v>45438</v>
      </c>
      <c r="B76" s="10">
        <v>4.2758620689655169</v>
      </c>
    </row>
    <row r="77" spans="1:2" x14ac:dyDescent="0.35">
      <c r="A77" s="14">
        <v>45439</v>
      </c>
      <c r="B77" s="10">
        <v>5.1679586563307494</v>
      </c>
    </row>
    <row r="78" spans="1:2" x14ac:dyDescent="0.35">
      <c r="A78" s="14">
        <v>45441</v>
      </c>
      <c r="B78" s="10">
        <v>3.2667876588021776</v>
      </c>
    </row>
    <row r="79" spans="1:2" x14ac:dyDescent="0.35">
      <c r="A79" s="14">
        <v>45442</v>
      </c>
      <c r="B79" s="10">
        <v>0.95948827292110883</v>
      </c>
    </row>
    <row r="80" spans="1:2" x14ac:dyDescent="0.35">
      <c r="A80" s="14">
        <v>45443</v>
      </c>
      <c r="B80" s="10">
        <v>3.7227214377406934</v>
      </c>
    </row>
    <row r="81" spans="1:2" x14ac:dyDescent="0.35">
      <c r="A81" s="12" t="s">
        <v>85</v>
      </c>
      <c r="B81" s="10">
        <v>4.7635401432413067</v>
      </c>
    </row>
    <row r="82" spans="1:2" x14ac:dyDescent="0.35">
      <c r="A82" s="14">
        <v>45444</v>
      </c>
      <c r="B82" s="10">
        <v>8.7349397590361448</v>
      </c>
    </row>
    <row r="83" spans="1:2" x14ac:dyDescent="0.35">
      <c r="A83" s="14">
        <v>45445</v>
      </c>
      <c r="B83" s="10">
        <v>2.1194605009633909</v>
      </c>
    </row>
    <row r="84" spans="1:2" x14ac:dyDescent="0.35">
      <c r="A84" s="14">
        <v>45446</v>
      </c>
      <c r="B84" s="10">
        <v>3.0364372469635628</v>
      </c>
    </row>
    <row r="85" spans="1:2" x14ac:dyDescent="0.35">
      <c r="A85" s="14">
        <v>45448</v>
      </c>
      <c r="B85" s="10">
        <v>1.214574898785425</v>
      </c>
    </row>
    <row r="86" spans="1:2" x14ac:dyDescent="0.35">
      <c r="A86" s="14">
        <v>45449</v>
      </c>
      <c r="B86" s="10">
        <v>1.6326530612244898</v>
      </c>
    </row>
    <row r="87" spans="1:2" x14ac:dyDescent="0.35">
      <c r="A87" s="14">
        <v>45451</v>
      </c>
      <c r="B87" s="10">
        <v>2.5965821886100504</v>
      </c>
    </row>
    <row r="88" spans="1:2" x14ac:dyDescent="0.35">
      <c r="A88" s="14">
        <v>45452</v>
      </c>
      <c r="B88" s="10">
        <v>4.2730795949890199</v>
      </c>
    </row>
    <row r="89" spans="1:2" x14ac:dyDescent="0.35">
      <c r="A89" s="14">
        <v>45453</v>
      </c>
      <c r="B89" s="10">
        <v>5.3872053872053867</v>
      </c>
    </row>
    <row r="90" spans="1:2" x14ac:dyDescent="0.35">
      <c r="A90" s="14">
        <v>45454</v>
      </c>
      <c r="B90" s="10">
        <v>7.8291814946619214</v>
      </c>
    </row>
    <row r="91" spans="1:2" x14ac:dyDescent="0.35">
      <c r="A91" s="14">
        <v>45458</v>
      </c>
      <c r="B91" s="10">
        <v>5.2132701421800949</v>
      </c>
    </row>
    <row r="92" spans="1:2" x14ac:dyDescent="0.35">
      <c r="A92" s="14">
        <v>45462</v>
      </c>
      <c r="B92" s="10">
        <v>9.0468497576736659</v>
      </c>
    </row>
    <row r="93" spans="1:2" x14ac:dyDescent="0.35">
      <c r="A93" s="14">
        <v>45463</v>
      </c>
      <c r="B93" s="10">
        <v>8.3056478405315612</v>
      </c>
    </row>
    <row r="94" spans="1:2" x14ac:dyDescent="0.35">
      <c r="A94" s="14">
        <v>45467</v>
      </c>
      <c r="B94" s="10">
        <v>3.3244680851063828</v>
      </c>
    </row>
    <row r="95" spans="1:2" x14ac:dyDescent="0.35">
      <c r="A95" s="14">
        <v>45471</v>
      </c>
      <c r="B95" s="10">
        <v>7.2837632776934749</v>
      </c>
    </row>
    <row r="96" spans="1:2" x14ac:dyDescent="0.35">
      <c r="A96" s="14">
        <v>45472</v>
      </c>
      <c r="B96" s="10">
        <v>6.7698259187620886</v>
      </c>
    </row>
    <row r="97" spans="1:2" x14ac:dyDescent="0.35">
      <c r="A97" s="11" t="s">
        <v>78</v>
      </c>
      <c r="B97" s="10">
        <v>4.4674285006659931</v>
      </c>
    </row>
    <row r="98" spans="1:2" x14ac:dyDescent="0.35">
      <c r="A98" s="12" t="s">
        <v>86</v>
      </c>
      <c r="B98" s="10">
        <v>4.9910964154530815</v>
      </c>
    </row>
    <row r="99" spans="1:2" x14ac:dyDescent="0.35">
      <c r="A99" s="14">
        <v>45475</v>
      </c>
      <c r="B99" s="10">
        <v>4.5325779036827196</v>
      </c>
    </row>
    <row r="100" spans="1:2" x14ac:dyDescent="0.35">
      <c r="A100" s="14">
        <v>45478</v>
      </c>
      <c r="B100" s="10">
        <v>10</v>
      </c>
    </row>
    <row r="101" spans="1:2" x14ac:dyDescent="0.35">
      <c r="A101" s="14">
        <v>45479</v>
      </c>
      <c r="B101" s="10">
        <v>4.1666666666666661</v>
      </c>
    </row>
    <row r="102" spans="1:2" x14ac:dyDescent="0.35">
      <c r="A102" s="14">
        <v>45480</v>
      </c>
      <c r="B102" s="10">
        <v>4.0752351097178678</v>
      </c>
    </row>
    <row r="103" spans="1:2" x14ac:dyDescent="0.35">
      <c r="A103" s="14">
        <v>45481</v>
      </c>
      <c r="B103" s="10">
        <v>5.4348673147122755</v>
      </c>
    </row>
    <row r="104" spans="1:2" x14ac:dyDescent="0.35">
      <c r="A104" s="14">
        <v>45482</v>
      </c>
      <c r="B104" s="10">
        <v>5.244755244755245</v>
      </c>
    </row>
    <row r="105" spans="1:2" x14ac:dyDescent="0.35">
      <c r="A105" s="14">
        <v>45483</v>
      </c>
      <c r="B105" s="10">
        <v>4.839575409274735</v>
      </c>
    </row>
    <row r="106" spans="1:2" x14ac:dyDescent="0.35">
      <c r="A106" s="14">
        <v>45486</v>
      </c>
      <c r="B106" s="10">
        <v>0.99557522123893805</v>
      </c>
    </row>
    <row r="107" spans="1:2" x14ac:dyDescent="0.35">
      <c r="A107" s="14">
        <v>45487</v>
      </c>
      <c r="B107" s="10">
        <v>4.5054945054945055</v>
      </c>
    </row>
    <row r="108" spans="1:2" x14ac:dyDescent="0.35">
      <c r="A108" s="14">
        <v>45489</v>
      </c>
      <c r="B108" s="10">
        <v>3.5864978902953584</v>
      </c>
    </row>
    <row r="109" spans="1:2" x14ac:dyDescent="0.35">
      <c r="A109" s="14">
        <v>45492</v>
      </c>
      <c r="B109" s="10">
        <v>3.9785005310771706</v>
      </c>
    </row>
    <row r="110" spans="1:2" x14ac:dyDescent="0.35">
      <c r="A110" s="14">
        <v>45493</v>
      </c>
      <c r="B110" s="10">
        <v>6.624605678233439</v>
      </c>
    </row>
    <row r="111" spans="1:2" x14ac:dyDescent="0.35">
      <c r="A111" s="14">
        <v>45494</v>
      </c>
      <c r="B111" s="10">
        <v>3.7537537537537538</v>
      </c>
    </row>
    <row r="112" spans="1:2" x14ac:dyDescent="0.35">
      <c r="A112" s="14">
        <v>45495</v>
      </c>
      <c r="B112" s="10">
        <v>3.5019455252918288</v>
      </c>
    </row>
    <row r="113" spans="1:2" x14ac:dyDescent="0.35">
      <c r="A113" s="14">
        <v>45497</v>
      </c>
      <c r="B113" s="10">
        <v>8.1753554502369674</v>
      </c>
    </row>
    <row r="114" spans="1:2" x14ac:dyDescent="0.35">
      <c r="A114" s="14">
        <v>45498</v>
      </c>
      <c r="B114" s="10">
        <v>5.973025048169557</v>
      </c>
    </row>
    <row r="115" spans="1:2" x14ac:dyDescent="0.35">
      <c r="A115" s="14">
        <v>45499</v>
      </c>
      <c r="B115" s="10">
        <v>5.7367829021372332</v>
      </c>
    </row>
    <row r="116" spans="1:2" x14ac:dyDescent="0.35">
      <c r="A116" s="12" t="s">
        <v>87</v>
      </c>
      <c r="B116" s="10">
        <v>3.7241904696154604</v>
      </c>
    </row>
    <row r="117" spans="1:2" x14ac:dyDescent="0.35">
      <c r="A117" s="14">
        <v>45506</v>
      </c>
      <c r="B117" s="10">
        <v>5.1829268292682924</v>
      </c>
    </row>
    <row r="118" spans="1:2" x14ac:dyDescent="0.35">
      <c r="A118" s="14">
        <v>45508</v>
      </c>
      <c r="B118" s="10">
        <v>1.2278308321964531</v>
      </c>
    </row>
    <row r="119" spans="1:2" x14ac:dyDescent="0.35">
      <c r="A119" s="14">
        <v>45509</v>
      </c>
      <c r="B119" s="10">
        <v>3.4095136207527963</v>
      </c>
    </row>
    <row r="120" spans="1:2" x14ac:dyDescent="0.35">
      <c r="A120" s="14">
        <v>45511</v>
      </c>
      <c r="B120" s="10">
        <v>3.5345155449205024</v>
      </c>
    </row>
    <row r="121" spans="1:2" x14ac:dyDescent="0.35">
      <c r="A121" s="14">
        <v>45514</v>
      </c>
      <c r="B121" s="10">
        <v>1.5240328253223916</v>
      </c>
    </row>
    <row r="122" spans="1:2" x14ac:dyDescent="0.35">
      <c r="A122" s="14">
        <v>45516</v>
      </c>
      <c r="B122" s="10">
        <v>3.8841405508072171</v>
      </c>
    </row>
    <row r="123" spans="1:2" x14ac:dyDescent="0.35">
      <c r="A123" s="14">
        <v>45517</v>
      </c>
      <c r="B123" s="10">
        <v>5.4992764109985526</v>
      </c>
    </row>
    <row r="124" spans="1:2" x14ac:dyDescent="0.35">
      <c r="A124" s="14">
        <v>45518</v>
      </c>
      <c r="B124" s="10">
        <v>6.1181434599156121</v>
      </c>
    </row>
    <row r="125" spans="1:2" x14ac:dyDescent="0.35">
      <c r="A125" s="14">
        <v>45521</v>
      </c>
      <c r="B125" s="10">
        <v>1.3727560718057021</v>
      </c>
    </row>
    <row r="126" spans="1:2" x14ac:dyDescent="0.35">
      <c r="A126" s="14">
        <v>45522</v>
      </c>
      <c r="B126" s="10">
        <v>3.9863933781625356</v>
      </c>
    </row>
    <row r="127" spans="1:2" x14ac:dyDescent="0.35">
      <c r="A127" s="14">
        <v>45524</v>
      </c>
      <c r="B127" s="10">
        <v>3.5607611040433653</v>
      </c>
    </row>
    <row r="128" spans="1:2" x14ac:dyDescent="0.35">
      <c r="A128" s="14">
        <v>45525</v>
      </c>
      <c r="B128" s="10">
        <v>2.7283511269276395</v>
      </c>
    </row>
    <row r="129" spans="1:2" x14ac:dyDescent="0.35">
      <c r="A129" s="14">
        <v>45528</v>
      </c>
      <c r="B129" s="10">
        <v>4.3156596794081379</v>
      </c>
    </row>
    <row r="130" spans="1:2" x14ac:dyDescent="0.35">
      <c r="A130" s="14">
        <v>45532</v>
      </c>
      <c r="B130" s="10">
        <v>3.7037037037037033</v>
      </c>
    </row>
    <row r="131" spans="1:2" x14ac:dyDescent="0.35">
      <c r="A131" s="14">
        <v>45533</v>
      </c>
      <c r="B131" s="10">
        <v>4.4420368364030338</v>
      </c>
    </row>
    <row r="132" spans="1:2" x14ac:dyDescent="0.35">
      <c r="A132" s="14">
        <v>45534</v>
      </c>
      <c r="B132" s="10">
        <v>4.4715447154471546</v>
      </c>
    </row>
    <row r="133" spans="1:2" x14ac:dyDescent="0.35">
      <c r="A133" s="14">
        <v>45535</v>
      </c>
      <c r="B133" s="10">
        <v>4.3628013777267505</v>
      </c>
    </row>
    <row r="134" spans="1:2" x14ac:dyDescent="0.35">
      <c r="A134" s="12" t="s">
        <v>88</v>
      </c>
      <c r="B134" s="10">
        <v>4.8285677657009725</v>
      </c>
    </row>
    <row r="135" spans="1:2" x14ac:dyDescent="0.35">
      <c r="A135" s="14">
        <v>45537</v>
      </c>
      <c r="B135" s="10">
        <v>2.4875621890547266</v>
      </c>
    </row>
    <row r="136" spans="1:2" x14ac:dyDescent="0.35">
      <c r="A136" s="14">
        <v>45538</v>
      </c>
      <c r="B136" s="10">
        <v>5.4646549593475058</v>
      </c>
    </row>
    <row r="137" spans="1:2" x14ac:dyDescent="0.35">
      <c r="A137" s="14">
        <v>45543</v>
      </c>
      <c r="B137" s="10">
        <v>2.4752475247524752</v>
      </c>
    </row>
    <row r="138" spans="1:2" x14ac:dyDescent="0.35">
      <c r="A138" s="14">
        <v>45544</v>
      </c>
      <c r="B138" s="10">
        <v>2.9573367808661928</v>
      </c>
    </row>
    <row r="139" spans="1:2" x14ac:dyDescent="0.35">
      <c r="A139" s="14">
        <v>45545</v>
      </c>
      <c r="B139" s="10">
        <v>4.8058132585547977</v>
      </c>
    </row>
    <row r="140" spans="1:2" x14ac:dyDescent="0.35">
      <c r="A140" s="14">
        <v>45547</v>
      </c>
      <c r="B140" s="10">
        <v>5.5118110236220472</v>
      </c>
    </row>
    <row r="141" spans="1:2" x14ac:dyDescent="0.35">
      <c r="A141" s="14">
        <v>45549</v>
      </c>
      <c r="B141" s="10">
        <v>5.3012048192771086</v>
      </c>
    </row>
    <row r="142" spans="1:2" x14ac:dyDescent="0.35">
      <c r="A142" s="14">
        <v>45550</v>
      </c>
      <c r="B142" s="10">
        <v>4.2402826855123674</v>
      </c>
    </row>
    <row r="143" spans="1:2" x14ac:dyDescent="0.35">
      <c r="A143" s="14">
        <v>45554</v>
      </c>
      <c r="B143" s="10">
        <v>5.1971326164874547</v>
      </c>
    </row>
    <row r="144" spans="1:2" x14ac:dyDescent="0.35">
      <c r="A144" s="14">
        <v>45555</v>
      </c>
      <c r="B144" s="10">
        <v>7.5418994413407825</v>
      </c>
    </row>
    <row r="145" spans="1:2" x14ac:dyDescent="0.35">
      <c r="A145" s="14">
        <v>45559</v>
      </c>
      <c r="B145" s="10">
        <v>6.1579651941097726</v>
      </c>
    </row>
    <row r="146" spans="1:2" x14ac:dyDescent="0.35">
      <c r="A146" s="14">
        <v>45560</v>
      </c>
      <c r="B146" s="10">
        <v>4.4057377049180326</v>
      </c>
    </row>
    <row r="147" spans="1:2" x14ac:dyDescent="0.35">
      <c r="A147" s="14">
        <v>45561</v>
      </c>
      <c r="B147" s="10">
        <v>4.9315068493150687</v>
      </c>
    </row>
    <row r="148" spans="1:2" x14ac:dyDescent="0.35">
      <c r="A148" s="14">
        <v>45562</v>
      </c>
      <c r="B148" s="10">
        <v>6.2361416011208064</v>
      </c>
    </row>
    <row r="149" spans="1:2" x14ac:dyDescent="0.35">
      <c r="A149" s="14">
        <v>45563</v>
      </c>
      <c r="B149" s="10">
        <v>4.9275362318840585</v>
      </c>
    </row>
    <row r="150" spans="1:2" x14ac:dyDescent="0.35">
      <c r="A150" s="14">
        <v>45565</v>
      </c>
      <c r="B150" s="10">
        <v>4.4883303411131061</v>
      </c>
    </row>
    <row r="151" spans="1:2" x14ac:dyDescent="0.35">
      <c r="A151" s="11" t="s">
        <v>79</v>
      </c>
      <c r="B151" s="10">
        <v>4.4523983666413933</v>
      </c>
    </row>
    <row r="152" spans="1:2" x14ac:dyDescent="0.35">
      <c r="A152" s="12" t="s">
        <v>89</v>
      </c>
      <c r="B152" s="10">
        <v>4.2798702632481742</v>
      </c>
    </row>
    <row r="153" spans="1:2" x14ac:dyDescent="0.35">
      <c r="A153" s="14">
        <v>45568</v>
      </c>
      <c r="B153" s="10">
        <v>4.5910427528754783</v>
      </c>
    </row>
    <row r="154" spans="1:2" x14ac:dyDescent="0.35">
      <c r="A154" s="14">
        <v>45571</v>
      </c>
      <c r="B154" s="10">
        <v>3.3315295815295816</v>
      </c>
    </row>
    <row r="155" spans="1:2" x14ac:dyDescent="0.35">
      <c r="A155" s="14">
        <v>45574</v>
      </c>
      <c r="B155" s="10">
        <v>4.9228795510877541</v>
      </c>
    </row>
    <row r="156" spans="1:2" x14ac:dyDescent="0.35">
      <c r="A156" s="14">
        <v>45575</v>
      </c>
      <c r="B156" s="10">
        <v>4.0201005025125625</v>
      </c>
    </row>
    <row r="157" spans="1:2" x14ac:dyDescent="0.35">
      <c r="A157" s="14">
        <v>45576</v>
      </c>
      <c r="B157" s="10">
        <v>1.7021276595744681</v>
      </c>
    </row>
    <row r="158" spans="1:2" x14ac:dyDescent="0.35">
      <c r="A158" s="14">
        <v>45579</v>
      </c>
      <c r="B158" s="10">
        <v>4.7297297297297298</v>
      </c>
    </row>
    <row r="159" spans="1:2" x14ac:dyDescent="0.35">
      <c r="A159" s="14">
        <v>45580</v>
      </c>
      <c r="B159" s="10">
        <v>4.865174184555964</v>
      </c>
    </row>
    <row r="160" spans="1:2" x14ac:dyDescent="0.35">
      <c r="A160" s="14">
        <v>45585</v>
      </c>
      <c r="B160" s="10">
        <v>3.3128834355828225</v>
      </c>
    </row>
    <row r="161" spans="1:2" x14ac:dyDescent="0.35">
      <c r="A161" s="14">
        <v>45587</v>
      </c>
      <c r="B161" s="10">
        <v>4.0816326530612246</v>
      </c>
    </row>
    <row r="162" spans="1:2" x14ac:dyDescent="0.35">
      <c r="A162" s="14">
        <v>45589</v>
      </c>
      <c r="B162" s="10">
        <v>4.5045045045045047</v>
      </c>
    </row>
    <row r="163" spans="1:2" x14ac:dyDescent="0.35">
      <c r="A163" s="14">
        <v>45593</v>
      </c>
      <c r="B163" s="10">
        <v>7.9781420765027322</v>
      </c>
    </row>
    <row r="164" spans="1:2" x14ac:dyDescent="0.35">
      <c r="A164" s="14">
        <v>45595</v>
      </c>
      <c r="B164" s="10">
        <v>4.6632124352331603</v>
      </c>
    </row>
    <row r="165" spans="1:2" x14ac:dyDescent="0.35">
      <c r="A165" s="14">
        <v>45596</v>
      </c>
      <c r="B165" s="10">
        <v>2.0330368487928845</v>
      </c>
    </row>
    <row r="166" spans="1:2" x14ac:dyDescent="0.35">
      <c r="A166" s="12" t="s">
        <v>90</v>
      </c>
      <c r="B166" s="10">
        <v>4.707456638468952</v>
      </c>
    </row>
    <row r="167" spans="1:2" x14ac:dyDescent="0.35">
      <c r="A167" s="14">
        <v>45600</v>
      </c>
      <c r="B167" s="10">
        <v>7.9229122055674521</v>
      </c>
    </row>
    <row r="168" spans="1:2" x14ac:dyDescent="0.35">
      <c r="A168" s="14">
        <v>45605</v>
      </c>
      <c r="B168" s="10">
        <v>5.6207079468394721</v>
      </c>
    </row>
    <row r="169" spans="1:2" x14ac:dyDescent="0.35">
      <c r="A169" s="14">
        <v>45607</v>
      </c>
      <c r="B169" s="10">
        <v>3.007518796992481</v>
      </c>
    </row>
    <row r="170" spans="1:2" x14ac:dyDescent="0.35">
      <c r="A170" s="14">
        <v>45609</v>
      </c>
      <c r="B170" s="10">
        <v>1.3761467889908259</v>
      </c>
    </row>
    <row r="171" spans="1:2" x14ac:dyDescent="0.35">
      <c r="A171" s="14">
        <v>45612</v>
      </c>
      <c r="B171" s="10">
        <v>5.2109181141439205</v>
      </c>
    </row>
    <row r="172" spans="1:2" x14ac:dyDescent="0.35">
      <c r="A172" s="14">
        <v>45614</v>
      </c>
      <c r="B172" s="10">
        <v>4.0306687847671459</v>
      </c>
    </row>
    <row r="173" spans="1:2" x14ac:dyDescent="0.35">
      <c r="A173" s="14">
        <v>45616</v>
      </c>
      <c r="B173" s="10">
        <v>5.7142857142857144</v>
      </c>
    </row>
    <row r="174" spans="1:2" x14ac:dyDescent="0.35">
      <c r="A174" s="14">
        <v>45617</v>
      </c>
      <c r="B174" s="10">
        <v>1.2195121951219512</v>
      </c>
    </row>
    <row r="175" spans="1:2" x14ac:dyDescent="0.35">
      <c r="A175" s="14">
        <v>45622</v>
      </c>
      <c r="B175" s="10">
        <v>6.3677161916559211</v>
      </c>
    </row>
    <row r="176" spans="1:2" x14ac:dyDescent="0.35">
      <c r="A176" s="12" t="s">
        <v>91</v>
      </c>
      <c r="B176" s="10">
        <v>4.4544350302389928</v>
      </c>
    </row>
    <row r="177" spans="1:2" x14ac:dyDescent="0.35">
      <c r="A177" s="14">
        <v>45627</v>
      </c>
      <c r="B177" s="10">
        <v>6.1573546180159635</v>
      </c>
    </row>
    <row r="178" spans="1:2" x14ac:dyDescent="0.35">
      <c r="A178" s="14">
        <v>45629</v>
      </c>
      <c r="B178" s="10">
        <v>2.7948391126411241</v>
      </c>
    </row>
    <row r="179" spans="1:2" x14ac:dyDescent="0.35">
      <c r="A179" s="14">
        <v>45631</v>
      </c>
      <c r="B179" s="10">
        <v>5.0653852213644246</v>
      </c>
    </row>
    <row r="180" spans="1:2" x14ac:dyDescent="0.35">
      <c r="A180" s="14">
        <v>45632</v>
      </c>
      <c r="B180" s="10">
        <v>4.7337278106508878</v>
      </c>
    </row>
    <row r="181" spans="1:2" x14ac:dyDescent="0.35">
      <c r="A181" s="14">
        <v>45633</v>
      </c>
      <c r="B181" s="10">
        <v>8.1395348837209305</v>
      </c>
    </row>
    <row r="182" spans="1:2" x14ac:dyDescent="0.35">
      <c r="A182" s="14">
        <v>45635</v>
      </c>
      <c r="B182" s="10">
        <v>2.8766057328009591</v>
      </c>
    </row>
    <row r="183" spans="1:2" x14ac:dyDescent="0.35">
      <c r="A183" s="14">
        <v>45637</v>
      </c>
      <c r="B183" s="10">
        <v>5.1476770848131181</v>
      </c>
    </row>
    <row r="184" spans="1:2" x14ac:dyDescent="0.35">
      <c r="A184" s="14">
        <v>45639</v>
      </c>
      <c r="B184" s="10">
        <v>7.0000000000000009</v>
      </c>
    </row>
    <row r="185" spans="1:2" x14ac:dyDescent="0.35">
      <c r="A185" s="14">
        <v>45640</v>
      </c>
      <c r="B185" s="10">
        <v>1.9443687811443495</v>
      </c>
    </row>
    <row r="186" spans="1:2" x14ac:dyDescent="0.35">
      <c r="A186" s="14">
        <v>45641</v>
      </c>
      <c r="B186" s="10">
        <v>3.4825870646766171</v>
      </c>
    </row>
    <row r="187" spans="1:2" x14ac:dyDescent="0.35">
      <c r="A187" s="14">
        <v>45645</v>
      </c>
      <c r="B187" s="10">
        <v>3.6284470246734397</v>
      </c>
    </row>
    <row r="188" spans="1:2" x14ac:dyDescent="0.35">
      <c r="A188" s="14">
        <v>45648</v>
      </c>
      <c r="B188" s="10">
        <v>9.8914354644149576</v>
      </c>
    </row>
    <row r="189" spans="1:2" x14ac:dyDescent="0.35">
      <c r="A189" s="14">
        <v>45650</v>
      </c>
      <c r="B189" s="10">
        <v>2.033271719038817</v>
      </c>
    </row>
    <row r="190" spans="1:2" x14ac:dyDescent="0.35">
      <c r="A190" s="14">
        <v>45656</v>
      </c>
      <c r="B190" s="10">
        <v>4.1832669322709162</v>
      </c>
    </row>
    <row r="191" spans="1:2" x14ac:dyDescent="0.35">
      <c r="A191" s="5" t="s">
        <v>75</v>
      </c>
      <c r="B191" s="10">
        <v>4.3452066629912327</v>
      </c>
    </row>
    <row r="192" spans="1:2" x14ac:dyDescent="0.35">
      <c r="A192" s="11" t="s">
        <v>76</v>
      </c>
      <c r="B192" s="10">
        <v>4.5351208780775343</v>
      </c>
    </row>
    <row r="193" spans="1:2" x14ac:dyDescent="0.35">
      <c r="A193" s="12" t="s">
        <v>80</v>
      </c>
      <c r="B193" s="10">
        <v>3.9414493438275247</v>
      </c>
    </row>
    <row r="194" spans="1:2" x14ac:dyDescent="0.35">
      <c r="A194" s="14">
        <v>45658</v>
      </c>
      <c r="B194" s="10">
        <v>5.3030303030303028</v>
      </c>
    </row>
    <row r="195" spans="1:2" x14ac:dyDescent="0.35">
      <c r="A195" s="14">
        <v>45661</v>
      </c>
      <c r="B195" s="10">
        <v>3.0816640986132513</v>
      </c>
    </row>
    <row r="196" spans="1:2" x14ac:dyDescent="0.35">
      <c r="A196" s="14">
        <v>45664</v>
      </c>
      <c r="B196" s="10">
        <v>3.5194755691085735</v>
      </c>
    </row>
    <row r="197" spans="1:2" x14ac:dyDescent="0.35">
      <c r="A197" s="14">
        <v>45665</v>
      </c>
      <c r="B197" s="10">
        <v>8.2962962962962958</v>
      </c>
    </row>
    <row r="198" spans="1:2" x14ac:dyDescent="0.35">
      <c r="A198" s="14">
        <v>45666</v>
      </c>
      <c r="B198" s="10">
        <v>3.0201342281879198</v>
      </c>
    </row>
    <row r="199" spans="1:2" x14ac:dyDescent="0.35">
      <c r="A199" s="14">
        <v>45668</v>
      </c>
      <c r="B199" s="10">
        <v>1.5592515592515594</v>
      </c>
    </row>
    <row r="200" spans="1:2" x14ac:dyDescent="0.35">
      <c r="A200" s="14">
        <v>45670</v>
      </c>
      <c r="B200" s="10">
        <v>7.670850767085077</v>
      </c>
    </row>
    <row r="201" spans="1:2" x14ac:dyDescent="0.35">
      <c r="A201" s="14">
        <v>45671</v>
      </c>
      <c r="B201" s="10">
        <v>2.4737916050524995</v>
      </c>
    </row>
    <row r="202" spans="1:2" x14ac:dyDescent="0.35">
      <c r="A202" s="14">
        <v>45676</v>
      </c>
      <c r="B202" s="10">
        <v>2.4742728681737578</v>
      </c>
    </row>
    <row r="203" spans="1:2" x14ac:dyDescent="0.35">
      <c r="A203" s="14">
        <v>45677</v>
      </c>
      <c r="B203" s="10">
        <v>3.2755020336719682</v>
      </c>
    </row>
    <row r="204" spans="1:2" x14ac:dyDescent="0.35">
      <c r="A204" s="14">
        <v>45678</v>
      </c>
      <c r="B204" s="10">
        <v>5.0615595075239401</v>
      </c>
    </row>
    <row r="205" spans="1:2" x14ac:dyDescent="0.35">
      <c r="A205" s="14">
        <v>45679</v>
      </c>
      <c r="B205" s="10">
        <v>4.9661835748792269</v>
      </c>
    </row>
    <row r="206" spans="1:2" x14ac:dyDescent="0.35">
      <c r="A206" s="14">
        <v>45681</v>
      </c>
      <c r="B206" s="10">
        <v>2.5751072961373391</v>
      </c>
    </row>
    <row r="207" spans="1:2" x14ac:dyDescent="0.35">
      <c r="A207" s="14">
        <v>45683</v>
      </c>
      <c r="B207" s="10">
        <v>4.8092065238590092</v>
      </c>
    </row>
    <row r="208" spans="1:2" x14ac:dyDescent="0.35">
      <c r="A208" s="14">
        <v>45684</v>
      </c>
      <c r="B208" s="10">
        <v>3.9048412708576254</v>
      </c>
    </row>
    <row r="209" spans="1:2" x14ac:dyDescent="0.35">
      <c r="A209" s="12" t="s">
        <v>81</v>
      </c>
      <c r="B209" s="10">
        <v>5.3562004912345866</v>
      </c>
    </row>
    <row r="210" spans="1:2" x14ac:dyDescent="0.35">
      <c r="A210" s="14">
        <v>45689</v>
      </c>
      <c r="B210" s="10">
        <v>5.2736365611867946</v>
      </c>
    </row>
    <row r="211" spans="1:2" x14ac:dyDescent="0.35">
      <c r="A211" s="14">
        <v>45691</v>
      </c>
      <c r="B211" s="10">
        <v>3.4188034188034191</v>
      </c>
    </row>
    <row r="212" spans="1:2" x14ac:dyDescent="0.35">
      <c r="A212" s="14">
        <v>45692</v>
      </c>
      <c r="B212" s="10">
        <v>7.5535304141661106</v>
      </c>
    </row>
    <row r="213" spans="1:2" x14ac:dyDescent="0.35">
      <c r="A213" s="14">
        <v>45693</v>
      </c>
      <c r="B213" s="10">
        <v>4.5816733067729087</v>
      </c>
    </row>
    <row r="214" spans="1:2" x14ac:dyDescent="0.35">
      <c r="A214" s="14">
        <v>45694</v>
      </c>
      <c r="B214" s="10">
        <v>6.7203311283503258</v>
      </c>
    </row>
    <row r="215" spans="1:2" x14ac:dyDescent="0.35">
      <c r="A215" s="14">
        <v>45695</v>
      </c>
      <c r="B215" s="10">
        <v>4.3887147335423196</v>
      </c>
    </row>
    <row r="216" spans="1:2" x14ac:dyDescent="0.35">
      <c r="A216" s="14">
        <v>45698</v>
      </c>
      <c r="B216" s="10">
        <v>7.8465268296179955</v>
      </c>
    </row>
    <row r="217" spans="1:2" x14ac:dyDescent="0.35">
      <c r="A217" s="14">
        <v>45699</v>
      </c>
      <c r="B217" s="10">
        <v>2.1999999999999997</v>
      </c>
    </row>
    <row r="218" spans="1:2" x14ac:dyDescent="0.35">
      <c r="A218" s="14">
        <v>45702</v>
      </c>
      <c r="B218" s="10">
        <v>1.9342359767891684</v>
      </c>
    </row>
    <row r="219" spans="1:2" x14ac:dyDescent="0.35">
      <c r="A219" s="14">
        <v>45705</v>
      </c>
      <c r="B219" s="10">
        <v>8.7847730600292824</v>
      </c>
    </row>
    <row r="220" spans="1:2" x14ac:dyDescent="0.35">
      <c r="A220" s="14">
        <v>45706</v>
      </c>
      <c r="B220" s="10">
        <v>5.7017543859649118</v>
      </c>
    </row>
    <row r="221" spans="1:2" x14ac:dyDescent="0.35">
      <c r="A221" s="14">
        <v>45707</v>
      </c>
      <c r="B221" s="10">
        <v>7.042253521126761</v>
      </c>
    </row>
    <row r="222" spans="1:2" x14ac:dyDescent="0.35">
      <c r="A222" s="14">
        <v>45710</v>
      </c>
      <c r="B222" s="10">
        <v>5.1502145922746783</v>
      </c>
    </row>
    <row r="223" spans="1:2" x14ac:dyDescent="0.35">
      <c r="A223" s="14">
        <v>45711</v>
      </c>
      <c r="B223" s="10">
        <v>2.1359223300970873</v>
      </c>
    </row>
    <row r="224" spans="1:2" x14ac:dyDescent="0.35">
      <c r="A224" s="14">
        <v>45713</v>
      </c>
      <c r="B224" s="10">
        <v>1.6414141414141417</v>
      </c>
    </row>
    <row r="225" spans="1:2" x14ac:dyDescent="0.35">
      <c r="A225" s="12" t="s">
        <v>82</v>
      </c>
      <c r="B225" s="10">
        <v>4.4505961388285531</v>
      </c>
    </row>
    <row r="226" spans="1:2" x14ac:dyDescent="0.35">
      <c r="A226" s="14">
        <v>45719</v>
      </c>
      <c r="B226" s="10">
        <v>3.6217303822937628</v>
      </c>
    </row>
    <row r="227" spans="1:2" x14ac:dyDescent="0.35">
      <c r="A227" s="14">
        <v>45723</v>
      </c>
      <c r="B227" s="10">
        <v>6.2717770034843205</v>
      </c>
    </row>
    <row r="228" spans="1:2" x14ac:dyDescent="0.35">
      <c r="A228" s="14">
        <v>45726</v>
      </c>
      <c r="B228" s="10">
        <v>0.94537815126050417</v>
      </c>
    </row>
    <row r="229" spans="1:2" x14ac:dyDescent="0.35">
      <c r="A229" s="14">
        <v>45727</v>
      </c>
      <c r="B229" s="10">
        <v>6.403940886699508</v>
      </c>
    </row>
    <row r="230" spans="1:2" x14ac:dyDescent="0.35">
      <c r="A230" s="14">
        <v>45729</v>
      </c>
      <c r="B230" s="10">
        <v>4.6742209631728047</v>
      </c>
    </row>
    <row r="231" spans="1:2" x14ac:dyDescent="0.35">
      <c r="A231" s="14">
        <v>45730</v>
      </c>
      <c r="B231" s="10">
        <v>2.8688524590163933</v>
      </c>
    </row>
    <row r="232" spans="1:2" x14ac:dyDescent="0.35">
      <c r="A232" s="14">
        <v>45733</v>
      </c>
      <c r="B232" s="10">
        <v>5.0480380258899675</v>
      </c>
    </row>
    <row r="233" spans="1:2" x14ac:dyDescent="0.35">
      <c r="A233" s="14">
        <v>45735</v>
      </c>
      <c r="B233" s="10">
        <v>7.3643410852713185</v>
      </c>
    </row>
    <row r="234" spans="1:2" x14ac:dyDescent="0.35">
      <c r="A234" s="14">
        <v>45738</v>
      </c>
      <c r="B234" s="10">
        <v>1.1627906976744187</v>
      </c>
    </row>
    <row r="235" spans="1:2" x14ac:dyDescent="0.35">
      <c r="A235" s="14">
        <v>45744</v>
      </c>
      <c r="B235" s="10">
        <v>4.0607602908302303</v>
      </c>
    </row>
    <row r="236" spans="1:2" x14ac:dyDescent="0.35">
      <c r="A236" s="14">
        <v>45746</v>
      </c>
      <c r="B236" s="10">
        <v>4.703476482617587</v>
      </c>
    </row>
    <row r="237" spans="1:2" x14ac:dyDescent="0.35">
      <c r="A237" s="14">
        <v>45747</v>
      </c>
      <c r="B237" s="10">
        <v>5.4573365927478026</v>
      </c>
    </row>
    <row r="238" spans="1:2" x14ac:dyDescent="0.35">
      <c r="A238" s="11" t="s">
        <v>77</v>
      </c>
      <c r="B238" s="10">
        <v>4.6660609108179809</v>
      </c>
    </row>
    <row r="239" spans="1:2" x14ac:dyDescent="0.35">
      <c r="A239" s="12" t="s">
        <v>83</v>
      </c>
      <c r="B239" s="10">
        <v>4.7080673564635589</v>
      </c>
    </row>
    <row r="240" spans="1:2" x14ac:dyDescent="0.35">
      <c r="A240" s="14">
        <v>45750</v>
      </c>
      <c r="B240" s="10">
        <v>4.0677966101694913</v>
      </c>
    </row>
    <row r="241" spans="1:2" x14ac:dyDescent="0.35">
      <c r="A241" s="14">
        <v>45751</v>
      </c>
      <c r="B241" s="10">
        <v>6.9323785184240272</v>
      </c>
    </row>
    <row r="242" spans="1:2" x14ac:dyDescent="0.35">
      <c r="A242" s="14">
        <v>45752</v>
      </c>
      <c r="B242" s="10">
        <v>6.7474048442906582</v>
      </c>
    </row>
    <row r="243" spans="1:2" x14ac:dyDescent="0.35">
      <c r="A243" s="14">
        <v>45753</v>
      </c>
      <c r="B243" s="10">
        <v>2.7028985507246377</v>
      </c>
    </row>
    <row r="244" spans="1:2" x14ac:dyDescent="0.35">
      <c r="A244" s="14">
        <v>45755</v>
      </c>
      <c r="B244" s="10">
        <v>2.3333333333333335</v>
      </c>
    </row>
    <row r="245" spans="1:2" x14ac:dyDescent="0.35">
      <c r="A245" s="14">
        <v>45758</v>
      </c>
      <c r="B245" s="10">
        <v>7.9831932773109235</v>
      </c>
    </row>
    <row r="246" spans="1:2" x14ac:dyDescent="0.35">
      <c r="A246" s="14">
        <v>45761</v>
      </c>
      <c r="B246" s="10">
        <v>5.4054054054054053</v>
      </c>
    </row>
    <row r="247" spans="1:2" x14ac:dyDescent="0.35">
      <c r="A247" s="14">
        <v>45762</v>
      </c>
      <c r="B247" s="10">
        <v>1.3698630136986301</v>
      </c>
    </row>
    <row r="248" spans="1:2" x14ac:dyDescent="0.35">
      <c r="A248" s="14">
        <v>45763</v>
      </c>
      <c r="B248" s="10">
        <v>3.393092105263158</v>
      </c>
    </row>
    <row r="249" spans="1:2" x14ac:dyDescent="0.35">
      <c r="A249" s="14">
        <v>45764</v>
      </c>
      <c r="B249" s="10">
        <v>5.5286317800160552</v>
      </c>
    </row>
    <row r="250" spans="1:2" x14ac:dyDescent="0.35">
      <c r="A250" s="14">
        <v>45765</v>
      </c>
      <c r="B250" s="10">
        <v>4.2820024745407821</v>
      </c>
    </row>
    <row r="251" spans="1:2" x14ac:dyDescent="0.35">
      <c r="A251" s="14">
        <v>45766</v>
      </c>
      <c r="B251" s="10">
        <v>5.3929962755254932</v>
      </c>
    </row>
    <row r="252" spans="1:2" x14ac:dyDescent="0.35">
      <c r="A252" s="14">
        <v>45767</v>
      </c>
      <c r="B252" s="10">
        <v>3.9906103286384975</v>
      </c>
    </row>
    <row r="253" spans="1:2" x14ac:dyDescent="0.35">
      <c r="A253" s="14">
        <v>45768</v>
      </c>
      <c r="B253" s="10">
        <v>3.8419285969641344</v>
      </c>
    </row>
    <row r="254" spans="1:2" x14ac:dyDescent="0.35">
      <c r="A254" s="14">
        <v>45772</v>
      </c>
      <c r="B254" s="10">
        <v>9.4170403587443943</v>
      </c>
    </row>
    <row r="255" spans="1:2" x14ac:dyDescent="0.35">
      <c r="A255" s="14">
        <v>45776</v>
      </c>
      <c r="B255" s="10">
        <v>3.7883435582822087</v>
      </c>
    </row>
    <row r="256" spans="1:2" x14ac:dyDescent="0.35">
      <c r="A256" s="12" t="s">
        <v>84</v>
      </c>
      <c r="B256" s="10">
        <v>4.9279870552537428</v>
      </c>
    </row>
    <row r="257" spans="1:2" x14ac:dyDescent="0.35">
      <c r="A257" s="14">
        <v>45779</v>
      </c>
      <c r="B257" s="10">
        <v>3.4552845528455287</v>
      </c>
    </row>
    <row r="258" spans="1:2" x14ac:dyDescent="0.35">
      <c r="A258" s="14">
        <v>45780</v>
      </c>
      <c r="B258" s="10">
        <v>5.8614564831261102</v>
      </c>
    </row>
    <row r="259" spans="1:2" x14ac:dyDescent="0.35">
      <c r="A259" s="14">
        <v>45781</v>
      </c>
      <c r="B259" s="10">
        <v>3.7537190661206203</v>
      </c>
    </row>
    <row r="260" spans="1:2" x14ac:dyDescent="0.35">
      <c r="A260" s="14">
        <v>45783</v>
      </c>
      <c r="B260" s="10">
        <v>3.5294117647058822</v>
      </c>
    </row>
    <row r="261" spans="1:2" x14ac:dyDescent="0.35">
      <c r="A261" s="14">
        <v>45784</v>
      </c>
      <c r="B261" s="10">
        <v>7.0493454179254789</v>
      </c>
    </row>
    <row r="262" spans="1:2" x14ac:dyDescent="0.35">
      <c r="A262" s="14">
        <v>45788</v>
      </c>
      <c r="B262" s="10">
        <v>4.073040671840185</v>
      </c>
    </row>
    <row r="263" spans="1:2" x14ac:dyDescent="0.35">
      <c r="A263" s="14">
        <v>45790</v>
      </c>
      <c r="B263" s="10">
        <v>2.1186440677966099</v>
      </c>
    </row>
    <row r="264" spans="1:2" x14ac:dyDescent="0.35">
      <c r="A264" s="14">
        <v>45794</v>
      </c>
      <c r="B264" s="10">
        <v>8.1410256410256405</v>
      </c>
    </row>
    <row r="265" spans="1:2" x14ac:dyDescent="0.35">
      <c r="A265" s="14">
        <v>45795</v>
      </c>
      <c r="B265" s="10">
        <v>8.3857442348008391</v>
      </c>
    </row>
    <row r="266" spans="1:2" x14ac:dyDescent="0.35">
      <c r="A266" s="14">
        <v>45796</v>
      </c>
      <c r="B266" s="10">
        <v>5.7347670250896057</v>
      </c>
    </row>
    <row r="267" spans="1:2" x14ac:dyDescent="0.35">
      <c r="A267" s="14">
        <v>45797</v>
      </c>
      <c r="B267" s="10">
        <v>4.6506002099593777</v>
      </c>
    </row>
    <row r="268" spans="1:2" x14ac:dyDescent="0.35">
      <c r="A268" s="14">
        <v>45800</v>
      </c>
      <c r="B268" s="10">
        <v>3.2894736842105261</v>
      </c>
    </row>
    <row r="269" spans="1:2" x14ac:dyDescent="0.35">
      <c r="A269" s="14">
        <v>45801</v>
      </c>
      <c r="B269" s="10">
        <v>2.3408089707649178</v>
      </c>
    </row>
    <row r="270" spans="1:2" x14ac:dyDescent="0.35">
      <c r="A270" s="14">
        <v>45802</v>
      </c>
      <c r="B270" s="10">
        <v>5.6410005391034383</v>
      </c>
    </row>
    <row r="271" spans="1:2" x14ac:dyDescent="0.35">
      <c r="A271" s="14">
        <v>45803</v>
      </c>
      <c r="B271" s="10">
        <v>4.8588089678316688</v>
      </c>
    </row>
    <row r="272" spans="1:2" x14ac:dyDescent="0.35">
      <c r="A272" s="14">
        <v>45804</v>
      </c>
      <c r="B272" s="10">
        <v>3.595890410958904</v>
      </c>
    </row>
    <row r="273" spans="1:2" x14ac:dyDescent="0.35">
      <c r="A273" s="14">
        <v>45807</v>
      </c>
      <c r="B273" s="10">
        <v>6.7017917530781155</v>
      </c>
    </row>
    <row r="274" spans="1:2" x14ac:dyDescent="0.35">
      <c r="A274" s="12" t="s">
        <v>85</v>
      </c>
      <c r="B274" s="10">
        <v>3.7589305234234711</v>
      </c>
    </row>
    <row r="275" spans="1:2" x14ac:dyDescent="0.35">
      <c r="A275" s="14">
        <v>45809</v>
      </c>
      <c r="B275" s="10">
        <v>2.8571428571428572</v>
      </c>
    </row>
    <row r="276" spans="1:2" x14ac:dyDescent="0.35">
      <c r="A276" s="14">
        <v>45812</v>
      </c>
      <c r="B276" s="10">
        <v>3.0270270270270272</v>
      </c>
    </row>
    <row r="277" spans="1:2" x14ac:dyDescent="0.35">
      <c r="A277" s="14">
        <v>45813</v>
      </c>
      <c r="B277" s="10">
        <v>3.8869257950530036</v>
      </c>
    </row>
    <row r="278" spans="1:2" x14ac:dyDescent="0.35">
      <c r="A278" s="14">
        <v>45816</v>
      </c>
      <c r="B278" s="10">
        <v>3.0021282055152216</v>
      </c>
    </row>
    <row r="279" spans="1:2" x14ac:dyDescent="0.35">
      <c r="A279" s="14">
        <v>45829</v>
      </c>
      <c r="B279" s="10">
        <v>4.9382716049382713</v>
      </c>
    </row>
    <row r="280" spans="1:2" x14ac:dyDescent="0.35">
      <c r="A280" s="14">
        <v>45832</v>
      </c>
      <c r="B280" s="10">
        <v>4.4262295081967213</v>
      </c>
    </row>
    <row r="281" spans="1:2" x14ac:dyDescent="0.35">
      <c r="A281" s="14">
        <v>45838</v>
      </c>
      <c r="B281" s="10">
        <v>4.3452607537114574</v>
      </c>
    </row>
    <row r="282" spans="1:2" x14ac:dyDescent="0.35">
      <c r="A282" s="11" t="s">
        <v>78</v>
      </c>
      <c r="B282" s="10">
        <v>4.2288257226439576</v>
      </c>
    </row>
    <row r="283" spans="1:2" x14ac:dyDescent="0.35">
      <c r="A283" s="12" t="s">
        <v>86</v>
      </c>
      <c r="B283" s="10">
        <v>3.887439883633466</v>
      </c>
    </row>
    <row r="284" spans="1:2" x14ac:dyDescent="0.35">
      <c r="A284" s="14">
        <v>45842</v>
      </c>
      <c r="B284" s="10">
        <v>4.0143045029038511</v>
      </c>
    </row>
    <row r="285" spans="1:2" x14ac:dyDescent="0.35">
      <c r="A285" s="14">
        <v>45845</v>
      </c>
      <c r="B285" s="10">
        <v>5.4162487462387157</v>
      </c>
    </row>
    <row r="286" spans="1:2" x14ac:dyDescent="0.35">
      <c r="A286" s="14">
        <v>45847</v>
      </c>
      <c r="B286" s="10">
        <v>1.5719585023337341</v>
      </c>
    </row>
    <row r="287" spans="1:2" x14ac:dyDescent="0.35">
      <c r="A287" s="14">
        <v>45848</v>
      </c>
      <c r="B287" s="10">
        <v>2.4032042723631508</v>
      </c>
    </row>
    <row r="288" spans="1:2" x14ac:dyDescent="0.35">
      <c r="A288" s="14">
        <v>45851</v>
      </c>
      <c r="B288" s="10">
        <v>4.3327556325823222</v>
      </c>
    </row>
    <row r="289" spans="1:2" x14ac:dyDescent="0.35">
      <c r="A289" s="14">
        <v>45852</v>
      </c>
      <c r="B289" s="10">
        <v>4.2553191489361701</v>
      </c>
    </row>
    <row r="290" spans="1:2" x14ac:dyDescent="0.35">
      <c r="A290" s="14">
        <v>45853</v>
      </c>
      <c r="B290" s="10">
        <v>2.0348837209302326</v>
      </c>
    </row>
    <row r="291" spans="1:2" x14ac:dyDescent="0.35">
      <c r="A291" s="14">
        <v>45854</v>
      </c>
      <c r="B291" s="10">
        <v>3.8241137472315909</v>
      </c>
    </row>
    <row r="292" spans="1:2" x14ac:dyDescent="0.35">
      <c r="A292" s="14">
        <v>45855</v>
      </c>
      <c r="B292" s="10">
        <v>2.3791397030833652</v>
      </c>
    </row>
    <row r="293" spans="1:2" x14ac:dyDescent="0.35">
      <c r="A293" s="14">
        <v>45856</v>
      </c>
      <c r="B293" s="10">
        <v>6.1538461538461542</v>
      </c>
    </row>
    <row r="294" spans="1:2" x14ac:dyDescent="0.35">
      <c r="A294" s="14">
        <v>45857</v>
      </c>
      <c r="B294" s="10">
        <v>3.1101154655656948</v>
      </c>
    </row>
    <row r="295" spans="1:2" x14ac:dyDescent="0.35">
      <c r="A295" s="14">
        <v>45858</v>
      </c>
      <c r="B295" s="10">
        <v>5.3797468354430382</v>
      </c>
    </row>
    <row r="296" spans="1:2" x14ac:dyDescent="0.35">
      <c r="A296" s="14">
        <v>45861</v>
      </c>
      <c r="B296" s="10">
        <v>3.9164320717339174</v>
      </c>
    </row>
    <row r="297" spans="1:2" x14ac:dyDescent="0.35">
      <c r="A297" s="14">
        <v>45863</v>
      </c>
      <c r="B297" s="10">
        <v>4.4350308930911817</v>
      </c>
    </row>
    <row r="298" spans="1:2" x14ac:dyDescent="0.35">
      <c r="A298" s="14">
        <v>45865</v>
      </c>
      <c r="B298" s="10">
        <v>5.4738508825036094</v>
      </c>
    </row>
    <row r="299" spans="1:2" x14ac:dyDescent="0.35">
      <c r="A299" s="14">
        <v>45866</v>
      </c>
      <c r="B299" s="10">
        <v>4.0556098620614751</v>
      </c>
    </row>
    <row r="300" spans="1:2" x14ac:dyDescent="0.35">
      <c r="A300" s="14">
        <v>45869</v>
      </c>
      <c r="B300" s="10">
        <v>6.313645621181263</v>
      </c>
    </row>
    <row r="301" spans="1:2" x14ac:dyDescent="0.35">
      <c r="A301" s="12" t="s">
        <v>87</v>
      </c>
      <c r="B301" s="10">
        <v>4.2331488159129869</v>
      </c>
    </row>
    <row r="302" spans="1:2" x14ac:dyDescent="0.35">
      <c r="A302" s="14">
        <v>45871</v>
      </c>
      <c r="B302" s="10">
        <v>4.7872340425531918</v>
      </c>
    </row>
    <row r="303" spans="1:2" x14ac:dyDescent="0.35">
      <c r="A303" s="14">
        <v>45872</v>
      </c>
      <c r="B303" s="10">
        <v>2.1077283372365341</v>
      </c>
    </row>
    <row r="304" spans="1:2" x14ac:dyDescent="0.35">
      <c r="A304" s="14">
        <v>45878</v>
      </c>
      <c r="B304" s="10">
        <v>2.7863777089783279</v>
      </c>
    </row>
    <row r="305" spans="1:2" x14ac:dyDescent="0.35">
      <c r="A305" s="14">
        <v>45884</v>
      </c>
      <c r="B305" s="10">
        <v>7.608695652173914</v>
      </c>
    </row>
    <row r="306" spans="1:2" x14ac:dyDescent="0.35">
      <c r="A306" s="14">
        <v>45892</v>
      </c>
      <c r="B306" s="10">
        <v>3.1954577409122864</v>
      </c>
    </row>
    <row r="307" spans="1:2" x14ac:dyDescent="0.35">
      <c r="A307" s="14">
        <v>45895</v>
      </c>
      <c r="B307" s="10">
        <v>2.9540481400437639</v>
      </c>
    </row>
    <row r="308" spans="1:2" x14ac:dyDescent="0.35">
      <c r="A308" s="14">
        <v>45898</v>
      </c>
      <c r="B308" s="10">
        <v>1.8900343642611683</v>
      </c>
    </row>
    <row r="309" spans="1:2" x14ac:dyDescent="0.35">
      <c r="A309" s="14">
        <v>45899</v>
      </c>
      <c r="B309" s="10">
        <v>4.1834142973392847</v>
      </c>
    </row>
    <row r="310" spans="1:2" x14ac:dyDescent="0.35">
      <c r="A310" s="14">
        <v>45900</v>
      </c>
      <c r="B310" s="10">
        <v>6.9529617346029031</v>
      </c>
    </row>
    <row r="311" spans="1:2" x14ac:dyDescent="0.35">
      <c r="A311" s="12" t="s">
        <v>88</v>
      </c>
      <c r="B311" s="10">
        <v>4.6652800337894309</v>
      </c>
    </row>
    <row r="312" spans="1:2" x14ac:dyDescent="0.35">
      <c r="A312" s="14">
        <v>45901</v>
      </c>
      <c r="B312" s="10">
        <v>2.9968454258675079</v>
      </c>
    </row>
    <row r="313" spans="1:2" x14ac:dyDescent="0.35">
      <c r="A313" s="14">
        <v>45902</v>
      </c>
      <c r="B313" s="10">
        <v>9.0813093980992612</v>
      </c>
    </row>
    <row r="314" spans="1:2" x14ac:dyDescent="0.35">
      <c r="A314" s="14">
        <v>45903</v>
      </c>
      <c r="B314" s="10">
        <v>5.5118110236220472</v>
      </c>
    </row>
    <row r="315" spans="1:2" x14ac:dyDescent="0.35">
      <c r="A315" s="14">
        <v>45904</v>
      </c>
      <c r="B315" s="10">
        <v>5.6918549813774986</v>
      </c>
    </row>
    <row r="316" spans="1:2" x14ac:dyDescent="0.35">
      <c r="A316" s="14">
        <v>45906</v>
      </c>
      <c r="B316" s="10">
        <v>5.3164556962025316</v>
      </c>
    </row>
    <row r="317" spans="1:2" x14ac:dyDescent="0.35">
      <c r="A317" s="14">
        <v>45911</v>
      </c>
      <c r="B317" s="10">
        <v>6.7301820649100987</v>
      </c>
    </row>
    <row r="318" spans="1:2" x14ac:dyDescent="0.35">
      <c r="A318" s="14">
        <v>45915</v>
      </c>
      <c r="B318" s="10">
        <v>0.81300813008130091</v>
      </c>
    </row>
    <row r="319" spans="1:2" x14ac:dyDescent="0.35">
      <c r="A319" s="14">
        <v>45916</v>
      </c>
      <c r="B319" s="10">
        <v>5.0722222222222229</v>
      </c>
    </row>
    <row r="320" spans="1:2" x14ac:dyDescent="0.35">
      <c r="A320" s="14">
        <v>45917</v>
      </c>
      <c r="B320" s="10">
        <v>5.6798623063683307</v>
      </c>
    </row>
    <row r="321" spans="1:2" x14ac:dyDescent="0.35">
      <c r="A321" s="14">
        <v>45919</v>
      </c>
      <c r="B321" s="10">
        <v>2.3443390299070117</v>
      </c>
    </row>
    <row r="322" spans="1:2" x14ac:dyDescent="0.35">
      <c r="A322" s="14">
        <v>45924</v>
      </c>
      <c r="B322" s="10">
        <v>5.5851063829787231</v>
      </c>
    </row>
    <row r="323" spans="1:2" x14ac:dyDescent="0.35">
      <c r="A323" s="14">
        <v>45925</v>
      </c>
      <c r="B323" s="10">
        <v>2.9787234042553195</v>
      </c>
    </row>
    <row r="324" spans="1:2" x14ac:dyDescent="0.35">
      <c r="A324" s="14">
        <v>45927</v>
      </c>
      <c r="B324" s="10">
        <v>1.1331444759206799</v>
      </c>
    </row>
    <row r="325" spans="1:2" x14ac:dyDescent="0.35">
      <c r="A325" s="14">
        <v>45929</v>
      </c>
      <c r="B325" s="10">
        <v>3.7283284195325725</v>
      </c>
    </row>
    <row r="326" spans="1:2" x14ac:dyDescent="0.35">
      <c r="A326" s="14">
        <v>45930</v>
      </c>
      <c r="B326" s="10">
        <v>6.0489060489060487</v>
      </c>
    </row>
    <row r="327" spans="1:2" x14ac:dyDescent="0.35">
      <c r="A327" s="11" t="s">
        <v>79</v>
      </c>
      <c r="B327" s="10">
        <v>4.0236727211977108</v>
      </c>
    </row>
    <row r="328" spans="1:2" x14ac:dyDescent="0.35">
      <c r="A328" s="12" t="s">
        <v>89</v>
      </c>
      <c r="B328" s="10">
        <v>4.1989525341891873</v>
      </c>
    </row>
    <row r="329" spans="1:2" x14ac:dyDescent="0.35">
      <c r="A329" s="14">
        <v>45931</v>
      </c>
      <c r="B329" s="10">
        <v>3.8527524081079441</v>
      </c>
    </row>
    <row r="330" spans="1:2" x14ac:dyDescent="0.35">
      <c r="A330" s="14">
        <v>45932</v>
      </c>
      <c r="B330" s="10">
        <v>5.2310355036323468</v>
      </c>
    </row>
    <row r="331" spans="1:2" x14ac:dyDescent="0.35">
      <c r="A331" s="14">
        <v>45933</v>
      </c>
      <c r="B331" s="10">
        <v>8.1123244929797202</v>
      </c>
    </row>
    <row r="332" spans="1:2" x14ac:dyDescent="0.35">
      <c r="A332" s="14">
        <v>45934</v>
      </c>
      <c r="B332" s="10">
        <v>4.2452830188679247</v>
      </c>
    </row>
    <row r="333" spans="1:2" x14ac:dyDescent="0.35">
      <c r="A333" s="14">
        <v>45937</v>
      </c>
      <c r="B333" s="10">
        <v>1.4705882352941175</v>
      </c>
    </row>
    <row r="334" spans="1:2" x14ac:dyDescent="0.35">
      <c r="A334" s="14">
        <v>45938</v>
      </c>
      <c r="B334" s="10">
        <v>3.8620689655172415</v>
      </c>
    </row>
    <row r="335" spans="1:2" x14ac:dyDescent="0.35">
      <c r="A335" s="14">
        <v>45939</v>
      </c>
      <c r="B335" s="10">
        <v>6.9306930693069315</v>
      </c>
    </row>
    <row r="336" spans="1:2" x14ac:dyDescent="0.35">
      <c r="A336" s="14">
        <v>45940</v>
      </c>
      <c r="B336" s="10">
        <v>4.2993630573248405</v>
      </c>
    </row>
    <row r="337" spans="1:2" x14ac:dyDescent="0.35">
      <c r="A337" s="14">
        <v>45943</v>
      </c>
      <c r="B337" s="10">
        <v>2.5882352941176472</v>
      </c>
    </row>
    <row r="338" spans="1:2" x14ac:dyDescent="0.35">
      <c r="A338" s="14">
        <v>45945</v>
      </c>
      <c r="B338" s="10">
        <v>1.3133208255159476</v>
      </c>
    </row>
    <row r="339" spans="1:2" x14ac:dyDescent="0.35">
      <c r="A339" s="14">
        <v>45946</v>
      </c>
      <c r="B339" s="10">
        <v>5.0691244239631335</v>
      </c>
    </row>
    <row r="340" spans="1:2" x14ac:dyDescent="0.35">
      <c r="A340" s="14">
        <v>45947</v>
      </c>
      <c r="B340" s="10">
        <v>5.0473356929934052</v>
      </c>
    </row>
    <row r="341" spans="1:2" x14ac:dyDescent="0.35">
      <c r="A341" s="14">
        <v>45948</v>
      </c>
      <c r="B341" s="10">
        <v>1.3636363636363635</v>
      </c>
    </row>
    <row r="342" spans="1:2" x14ac:dyDescent="0.35">
      <c r="A342" s="14">
        <v>45950</v>
      </c>
      <c r="B342" s="10">
        <v>3.1616304173113372</v>
      </c>
    </row>
    <row r="343" spans="1:2" x14ac:dyDescent="0.35">
      <c r="A343" s="14">
        <v>45951</v>
      </c>
      <c r="B343" s="10">
        <v>3.7604456824512535</v>
      </c>
    </row>
    <row r="344" spans="1:2" x14ac:dyDescent="0.35">
      <c r="A344" s="14">
        <v>45953</v>
      </c>
      <c r="B344" s="10">
        <v>4.3636363636363642</v>
      </c>
    </row>
    <row r="345" spans="1:2" x14ac:dyDescent="0.35">
      <c r="A345" s="14">
        <v>45954</v>
      </c>
      <c r="B345" s="10">
        <v>6.0133630289532292</v>
      </c>
    </row>
    <row r="346" spans="1:2" x14ac:dyDescent="0.35">
      <c r="A346" s="14">
        <v>45955</v>
      </c>
      <c r="B346" s="10">
        <v>4.7798341998465688</v>
      </c>
    </row>
    <row r="347" spans="1:2" x14ac:dyDescent="0.35">
      <c r="A347" s="14">
        <v>45956</v>
      </c>
      <c r="B347" s="10">
        <v>4.4386422976501301</v>
      </c>
    </row>
    <row r="348" spans="1:2" x14ac:dyDescent="0.35">
      <c r="A348" s="14">
        <v>45961</v>
      </c>
      <c r="B348" s="10">
        <v>4.5184135100502045</v>
      </c>
    </row>
    <row r="349" spans="1:2" x14ac:dyDescent="0.35">
      <c r="A349" s="12" t="s">
        <v>90</v>
      </c>
      <c r="B349" s="10">
        <v>3.895763315636088</v>
      </c>
    </row>
    <row r="350" spans="1:2" x14ac:dyDescent="0.35">
      <c r="A350" s="14">
        <v>45963</v>
      </c>
      <c r="B350" s="10">
        <v>3.644011327669499</v>
      </c>
    </row>
    <row r="351" spans="1:2" x14ac:dyDescent="0.35">
      <c r="A351" s="14">
        <v>45964</v>
      </c>
      <c r="B351" s="10">
        <v>0.94161958568738224</v>
      </c>
    </row>
    <row r="352" spans="1:2" x14ac:dyDescent="0.35">
      <c r="A352" s="14">
        <v>45966</v>
      </c>
      <c r="B352" s="10">
        <v>1.8969108717812349</v>
      </c>
    </row>
    <row r="353" spans="1:2" x14ac:dyDescent="0.35">
      <c r="A353" s="14">
        <v>45968</v>
      </c>
      <c r="B353" s="10">
        <v>4.5454545454545459</v>
      </c>
    </row>
    <row r="354" spans="1:2" x14ac:dyDescent="0.35">
      <c r="A354" s="14">
        <v>45972</v>
      </c>
      <c r="B354" s="10">
        <v>3.2653061224489797</v>
      </c>
    </row>
    <row r="355" spans="1:2" x14ac:dyDescent="0.35">
      <c r="A355" s="14">
        <v>45973</v>
      </c>
      <c r="B355" s="10">
        <v>3.1591273568802585</v>
      </c>
    </row>
    <row r="356" spans="1:2" x14ac:dyDescent="0.35">
      <c r="A356" s="14">
        <v>45975</v>
      </c>
      <c r="B356" s="10">
        <v>2.4298028108074123</v>
      </c>
    </row>
    <row r="357" spans="1:2" x14ac:dyDescent="0.35">
      <c r="A357" s="14">
        <v>45976</v>
      </c>
      <c r="B357" s="10">
        <v>2.5280898876404492</v>
      </c>
    </row>
    <row r="358" spans="1:2" x14ac:dyDescent="0.35">
      <c r="A358" s="14">
        <v>45977</v>
      </c>
      <c r="B358" s="10">
        <v>6.1359867330016584</v>
      </c>
    </row>
    <row r="359" spans="1:2" x14ac:dyDescent="0.35">
      <c r="A359" s="14">
        <v>45978</v>
      </c>
      <c r="B359" s="10">
        <v>7.1297989031078606</v>
      </c>
    </row>
    <row r="360" spans="1:2" x14ac:dyDescent="0.35">
      <c r="A360" s="14">
        <v>45979</v>
      </c>
      <c r="B360" s="10">
        <v>3.0172413793103448</v>
      </c>
    </row>
    <row r="361" spans="1:2" x14ac:dyDescent="0.35">
      <c r="A361" s="14">
        <v>45981</v>
      </c>
      <c r="B361" s="10">
        <v>8.6283185840707954</v>
      </c>
    </row>
    <row r="362" spans="1:2" x14ac:dyDescent="0.35">
      <c r="A362" s="14">
        <v>45982</v>
      </c>
      <c r="B362" s="10">
        <v>6.625</v>
      </c>
    </row>
    <row r="363" spans="1:2" x14ac:dyDescent="0.35">
      <c r="A363" s="14">
        <v>45983</v>
      </c>
      <c r="B363" s="10">
        <v>5.3177966101694913</v>
      </c>
    </row>
    <row r="364" spans="1:2" x14ac:dyDescent="0.35">
      <c r="A364" s="14">
        <v>45988</v>
      </c>
      <c r="B364" s="10">
        <v>8.4993359893758296</v>
      </c>
    </row>
    <row r="365" spans="1:2" x14ac:dyDescent="0.35">
      <c r="A365" s="14">
        <v>45989</v>
      </c>
      <c r="B365" s="10">
        <v>3.5087719298245612</v>
      </c>
    </row>
    <row r="366" spans="1:2" x14ac:dyDescent="0.35">
      <c r="A366" s="14">
        <v>45990</v>
      </c>
      <c r="B366" s="10">
        <v>5.1178641585808684</v>
      </c>
    </row>
    <row r="367" spans="1:2" x14ac:dyDescent="0.35">
      <c r="A367" s="14">
        <v>45991</v>
      </c>
      <c r="B367" s="10">
        <v>1.1886826907713026</v>
      </c>
    </row>
    <row r="368" spans="1:2" x14ac:dyDescent="0.35">
      <c r="A368" s="12" t="s">
        <v>91</v>
      </c>
      <c r="B368" s="10">
        <v>3.925029719196603</v>
      </c>
    </row>
    <row r="369" spans="1:2" x14ac:dyDescent="0.35">
      <c r="A369" s="14">
        <v>45992</v>
      </c>
      <c r="B369" s="10">
        <v>3.8062283737024223</v>
      </c>
    </row>
    <row r="370" spans="1:2" x14ac:dyDescent="0.35">
      <c r="A370" s="14">
        <v>45993</v>
      </c>
      <c r="B370" s="10">
        <v>1.2903225806451613</v>
      </c>
    </row>
    <row r="371" spans="1:2" x14ac:dyDescent="0.35">
      <c r="A371" s="14">
        <v>45994</v>
      </c>
      <c r="B371" s="10">
        <v>2.9106029106029108</v>
      </c>
    </row>
    <row r="372" spans="1:2" x14ac:dyDescent="0.35">
      <c r="A372" s="14">
        <v>45995</v>
      </c>
      <c r="B372" s="10">
        <v>6.8914956011730197</v>
      </c>
    </row>
    <row r="373" spans="1:2" x14ac:dyDescent="0.35">
      <c r="A373" s="14">
        <v>45997</v>
      </c>
      <c r="B373" s="10">
        <v>3.2028469750889679</v>
      </c>
    </row>
    <row r="374" spans="1:2" x14ac:dyDescent="0.35">
      <c r="A374" s="14">
        <v>46001</v>
      </c>
      <c r="B374" s="10">
        <v>3.9443609022556387</v>
      </c>
    </row>
    <row r="375" spans="1:2" x14ac:dyDescent="0.35">
      <c r="A375" s="14">
        <v>46002</v>
      </c>
      <c r="B375" s="10">
        <v>3.7837837837837842</v>
      </c>
    </row>
    <row r="376" spans="1:2" x14ac:dyDescent="0.35">
      <c r="A376" s="14">
        <v>46011</v>
      </c>
      <c r="B376" s="10">
        <v>3.3337194852244245</v>
      </c>
    </row>
    <row r="377" spans="1:2" x14ac:dyDescent="0.35">
      <c r="A377" s="14">
        <v>46016</v>
      </c>
      <c r="B377" s="10">
        <v>5.5456171735241506</v>
      </c>
    </row>
    <row r="378" spans="1:2" x14ac:dyDescent="0.35">
      <c r="A378" s="14">
        <v>46017</v>
      </c>
      <c r="B378" s="10">
        <v>1.5414258188824663</v>
      </c>
    </row>
    <row r="379" spans="1:2" x14ac:dyDescent="0.35">
      <c r="A379" s="14">
        <v>46018</v>
      </c>
      <c r="B379" s="10">
        <v>4.2868988391376446</v>
      </c>
    </row>
    <row r="380" spans="1:2" x14ac:dyDescent="0.35">
      <c r="A380" s="14">
        <v>46019</v>
      </c>
      <c r="B380" s="10">
        <v>2.014218009478673</v>
      </c>
    </row>
    <row r="381" spans="1:2" x14ac:dyDescent="0.35">
      <c r="A381" s="14">
        <v>46021</v>
      </c>
      <c r="B381" s="10">
        <v>6.3045027731126382</v>
      </c>
    </row>
    <row r="382" spans="1:2" x14ac:dyDescent="0.35">
      <c r="A382" s="5" t="s">
        <v>66</v>
      </c>
      <c r="B382" s="10">
        <v>4.4219146284317992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Sheet2</vt:lpstr>
      <vt:lpstr>Q4 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Varththini V</cp:lastModifiedBy>
  <dcterms:created xsi:type="dcterms:W3CDTF">2026-01-17T10:46:26Z</dcterms:created>
  <dcterms:modified xsi:type="dcterms:W3CDTF">2026-02-14T15:39:32Z</dcterms:modified>
</cp:coreProperties>
</file>